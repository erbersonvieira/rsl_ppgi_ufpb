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G:\Meu Drive\MEU NOTEBOOK\Doutorado\PPGI UFPB\2026-2\Projeto de Tese II\Submissão Revisão\Sumplementary Material Final\"/>
    </mc:Choice>
  </mc:AlternateContent>
  <xr:revisionPtr revIDLastSave="0" documentId="13_ncr:1_{A5B9B28E-E003-4162-9FDD-62168018787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able 3" sheetId="1" r:id="rId1"/>
    <sheet name="Summary" sheetId="2" r:id="rId2"/>
    <sheet name="Original data" sheetId="4" r:id="rId3"/>
  </sheets>
  <definedNames>
    <definedName name="_xlnm._FilterDatabase" localSheetId="0" hidden="1">'Table 3'!$A$2:$Q$119</definedName>
    <definedName name="_xlnm.Print_Titles" localSheetId="0">'Table 3'!$1:$2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7" i="2" l="1"/>
  <c r="B46" i="2"/>
  <c r="B45" i="2"/>
  <c r="B44" i="2"/>
  <c r="B43" i="2"/>
  <c r="B42" i="2"/>
  <c r="B41" i="2"/>
  <c r="B40" i="2"/>
  <c r="B39" i="2"/>
  <c r="B38" i="2"/>
  <c r="B37" i="2"/>
  <c r="B34" i="2"/>
  <c r="B33" i="2"/>
  <c r="B30" i="2"/>
  <c r="B29" i="2"/>
  <c r="B28" i="2"/>
  <c r="B27" i="2"/>
  <c r="B26" i="2"/>
  <c r="B25" i="2"/>
  <c r="B24" i="2"/>
  <c r="B21" i="2"/>
  <c r="B20" i="2"/>
  <c r="B19" i="2"/>
  <c r="B16" i="2"/>
  <c r="B15" i="2"/>
  <c r="B11" i="2"/>
  <c r="B10" i="2"/>
  <c r="B9" i="2"/>
  <c r="B8" i="2"/>
  <c r="B7" i="2"/>
  <c r="C7" i="2" s="1"/>
  <c r="B6" i="2"/>
  <c r="B3" i="2"/>
  <c r="C27" i="2" l="1"/>
  <c r="C26" i="2"/>
  <c r="C25" i="2"/>
  <c r="C47" i="2"/>
  <c r="C46" i="2"/>
  <c r="C45" i="2"/>
  <c r="C44" i="2"/>
  <c r="C29" i="2"/>
  <c r="C43" i="2"/>
  <c r="C42" i="2"/>
  <c r="C41" i="2"/>
  <c r="C40" i="2"/>
  <c r="C33" i="2"/>
  <c r="C38" i="2"/>
  <c r="C37" i="2"/>
  <c r="C34" i="2"/>
  <c r="C30" i="2"/>
  <c r="C28" i="2"/>
  <c r="C24" i="2"/>
  <c r="C21" i="2"/>
  <c r="C20" i="2"/>
  <c r="C19" i="2"/>
  <c r="C8" i="2"/>
  <c r="C16" i="2"/>
  <c r="C15" i="2"/>
  <c r="C11" i="2"/>
  <c r="C10" i="2"/>
  <c r="C9" i="2"/>
  <c r="B12" i="2"/>
  <c r="C12" i="2" s="1"/>
  <c r="C6" i="2"/>
  <c r="C39" i="2"/>
</calcChain>
</file>

<file path=xl/sharedStrings.xml><?xml version="1.0" encoding="utf-8"?>
<sst xmlns="http://schemas.openxmlformats.org/spreadsheetml/2006/main" count="3473" uniqueCount="842">
  <si>
    <t>Identification</t>
  </si>
  <si>
    <t>Technique</t>
  </si>
  <si>
    <t>Cognitive assessment</t>
  </si>
  <si>
    <t>Technical and application context</t>
  </si>
  <si>
    <t>#</t>
  </si>
  <si>
    <t>Author(s)</t>
  </si>
  <si>
    <t>Year</t>
  </si>
  <si>
    <t>Title</t>
  </si>
  <si>
    <t>DOI</t>
  </si>
  <si>
    <t>Technique(s) used</t>
  </si>
  <si>
    <t>Terminology used</t>
  </si>
  <si>
    <t>Assessment (summary)</t>
  </si>
  <si>
    <t>Presence evaluated?</t>
  </si>
  <si>
    <t>Presence assessment tool</t>
  </si>
  <si>
    <t>Sense of Agency assessed?</t>
  </si>
  <si>
    <t>Sense of Agency assessment tool</t>
  </si>
  <si>
    <t>Knowledge areas</t>
  </si>
  <si>
    <t>Platform / HMD</t>
  </si>
  <si>
    <t>Tracking / alignment system</t>
  </si>
  <si>
    <t>Solution type</t>
  </si>
  <si>
    <t>Implementation costs assessed?</t>
  </si>
  <si>
    <t>Yutaro Abe, Asaki Kawaguchi, Shogo Okamoto</t>
  </si>
  <si>
    <t>Minimal Impact of Tangible Objects on Body Ownership Transfer in Immersive Virtual Reality</t>
  </si>
  <si>
    <t>10.5057/isase.2024-c000037</t>
  </si>
  <si>
    <t>Object Substitution</t>
  </si>
  <si>
    <t>Tangible Objects</t>
  </si>
  <si>
    <t>SoA</t>
  </si>
  <si>
    <t>No</t>
  </si>
  <si>
    <t>N/A</t>
  </si>
  <si>
    <t>Yes</t>
  </si>
  <si>
    <t>Questionnaire containing only one question about SoA</t>
  </si>
  <si>
    <t>Computing/HCI</t>
  </si>
  <si>
    <t>Oculus Quest 2 / Unity 3D</t>
  </si>
  <si>
    <t>HMD cameras for hand tracking and manual object positioning</t>
  </si>
  <si>
    <t>Experimental</t>
  </si>
  <si>
    <t>Almutawa, A.</t>
  </si>
  <si>
    <t>Effect of Smooth Transition and Hybrid Reality on Virtual Realism: A Case of Virtual Art Gallery</t>
  </si>
  <si>
    <t>10.25046/aj060325</t>
  </si>
  <si>
    <t>Passive Haptics</t>
  </si>
  <si>
    <t>Physical Objects</t>
  </si>
  <si>
    <t>Presence</t>
  </si>
  <si>
    <t>Presence and Reality judgment questionnaire</t>
  </si>
  <si>
    <t>Computing/HCI; Arts/Heritage</t>
  </si>
  <si>
    <t>HTC Vive headset; Notebook; Computer; Unreal Engine 4; Autodesk 3DS Max</t>
  </si>
  <si>
    <t>HTC Vive lighthouses, Vive tracking sensor</t>
  </si>
  <si>
    <t>Antonio Carlos Araújo and Deivison Costa and Liliane Machado</t>
  </si>
  <si>
    <t>Uso de guias táteis como proxies hápticos em ambientes virtuais de simulação médica</t>
  </si>
  <si>
    <t>10.5753/svr_estendido.2025.15741</t>
  </si>
  <si>
    <t>Tactile Guide; Physical Objects; Everyday Objects</t>
  </si>
  <si>
    <t>None</t>
  </si>
  <si>
    <t>Computing/HCI; Health/Medicine</t>
  </si>
  <si>
    <t>Meta Quest 3; Unity</t>
  </si>
  <si>
    <t>Static spatial correspondence</t>
  </si>
  <si>
    <t>Auda, J. and Gruenefeld, U. and Schneegass, S.</t>
  </si>
  <si>
    <t>Enabling Reusable Haptic Props for Virtual Reality by Hand Displacement</t>
  </si>
  <si>
    <t>10.1145/3473856.3474000</t>
  </si>
  <si>
    <t>Haptic Props</t>
  </si>
  <si>
    <t>Not reported</t>
  </si>
  <si>
    <t>OptiTrack 13W</t>
  </si>
  <si>
    <t>Azmandian, M. and Hancock, M. and Benko, H. and Ofek, E. and Wilson, A.</t>
  </si>
  <si>
    <t>Haptic Retargeting: Dynamic Repurposing of Passive Haptics for Enhanced Virtual Reality Experiences</t>
  </si>
  <si>
    <t>10.1145/2858036.2858226</t>
  </si>
  <si>
    <t>Passive Haptic</t>
  </si>
  <si>
    <t>Both*</t>
  </si>
  <si>
    <t>Presence Questionnaire (PQ) – Witmer &amp; Singer</t>
  </si>
  <si>
    <t>Indirectly</t>
  </si>
  <si>
    <t>Control and Performance Subscales of the Witmer &amp; Singer Presence Questionnaire</t>
  </si>
  <si>
    <t>Computing/HCI; Entertainment/Games</t>
  </si>
  <si>
    <t>Oculus Rift DK2; Unity 3D</t>
  </si>
  <si>
    <t>Oculus camera; Microsoft Kinect; retroreflective markers</t>
  </si>
  <si>
    <t>Yoosung Bae, Baekdong Cha, Jeha Ryu</t>
  </si>
  <si>
    <t>Calibration and Evaluation for Visuo-haptic Collocation in Haptic Augmented Virtuality Systems</t>
  </si>
  <si>
    <t>10.1007/s12555-018-0882-3</t>
  </si>
  <si>
    <t>Computing/HCI; Engineering</t>
  </si>
  <si>
    <t>HTC VIVE; Robot: UR10</t>
  </si>
  <si>
    <t>HTC VIVE (with infrared/IR cameras and Lighthouse tracking); Synchronization/positioning with UR10 industrial robot</t>
  </si>
  <si>
    <t>Baek, S. and Gil, Y. and Kim, Y.</t>
  </si>
  <si>
    <t>VR-Based Job Training System Using Tangible Interactions</t>
  </si>
  <si>
    <t>10.3390/s21206794</t>
  </si>
  <si>
    <t>Computing/HCI; Education/Sciences</t>
  </si>
  <si>
    <t>Computer, Kinect sensors, VIVE Pro HMD, Zigbee transmitters, Unity 3D</t>
  </si>
  <si>
    <t>Kinect sensors with ICP algorithm and infrared markers</t>
  </si>
  <si>
    <t>Neil T. Banerjee, Alex J. Baughman, Shu-Yu Lin, Zoë A. Witte, David M. Klaus, Allison P. Anderson</t>
  </si>
  <si>
    <t>Development of alternative reality environments for spacecraft habitat design evaluation</t>
  </si>
  <si>
    <t>10.1007/s10055-020-00462-6</t>
  </si>
  <si>
    <t>Hybrid</t>
  </si>
  <si>
    <t>AR - Unity Platform, HMD Microsoft Hololens; VR - Unreal Engine 4 Platform, HMD HTC Vive Pro</t>
  </si>
  <si>
    <t>HTC Vive base stations (lighthouses) and four trackers (pucks); Raspberry Pi; sensors</t>
  </si>
  <si>
    <t>Bouzbib, E. and Gendreau, G. and Guillaumin, N. and Teyssier, M. and Pacchierotti, C. and Lecuyer, A.</t>
  </si>
  <si>
    <t>Flexible Reality: Can Pseudo-Haptics Enhance Vibration Intensity Perception in Co-Located AR Interaction?</t>
  </si>
  <si>
    <t>10.1145/3765712.3765724</t>
  </si>
  <si>
    <t>Semi-structured interview with qualitative feedback</t>
  </si>
  <si>
    <t>Meta Quest 3; Unity 3D</t>
  </si>
  <si>
    <t>Manual synchronization; ESP32 microcontroller</t>
  </si>
  <si>
    <t>Bouzbib, E. and Pacchierotti, C. and Lecuyer, A.</t>
  </si>
  <si>
    <t>When Tangibles Become Deformable: Studying Pseudo-Stiffness Perceptual Thresholds in a VR Grasping Task</t>
  </si>
  <si>
    <t>10.1109/TVCG.2023.3247083</t>
  </si>
  <si>
    <t>Meta Quest 2; Unity 3D</t>
  </si>
  <si>
    <t>Bozgeyikli, E. and Bozgeyikli, L.</t>
  </si>
  <si>
    <t>Evaluating Object Manipulation Interaction Techniques in Mixed Reality: Tangible User Interfaces and Gesture</t>
  </si>
  <si>
    <t>10.1109/VR50410.2021.00105</t>
  </si>
  <si>
    <t>Physical Props</t>
  </si>
  <si>
    <t>ITC-Sense of Presence Inventory by Lessiter et al.</t>
  </si>
  <si>
    <t>Magic Leap One</t>
  </si>
  <si>
    <t>Image tracking (Magic Leap’s image tracking)</t>
  </si>
  <si>
    <t>Bozgeyikli, L. and Bozgeyikli, E.</t>
  </si>
  <si>
    <t>Tangiball: Foot-Enabled Embodied Tangible Interaction with a Ball in Virtual Reality</t>
  </si>
  <si>
    <t>10.1109/VR51125.2022.00103</t>
  </si>
  <si>
    <t>HTC Vive; Computer; Unity 3D</t>
  </si>
  <si>
    <t>HTC Vive infrared-emitting base stations and HTC Vive Trackers</t>
  </si>
  <si>
    <t>Kim Brock, Samuel J. Vine, J. M. Ross, Max Trevarthen, David Harris</t>
  </si>
  <si>
    <t>Movement kinematic and postural control differences when performing a visuomotor skill in real and virtual environments</t>
  </si>
  <si>
    <t>10.1007/s00221-023-06639-0</t>
  </si>
  <si>
    <t>Haptic Feedback</t>
  </si>
  <si>
    <t>Entertainment/Games</t>
  </si>
  <si>
    <t>HTC-Vive Pro Eye; Unity 3D; Desktop</t>
  </si>
  <si>
    <t>Vive tracker</t>
  </si>
  <si>
    <t>Fabio Bruno, Loris Barbieri, Maurizio Muzzupappa</t>
  </si>
  <si>
    <t>A Mixed Reality system for the ergonomic assessment of industrial workstations</t>
  </si>
  <si>
    <t>10.1007/s12008-020-00664-x</t>
  </si>
  <si>
    <t>Engineering</t>
  </si>
  <si>
    <t>HTC Vive with attached camera; Unity 3D</t>
  </si>
  <si>
    <t>OptiTrack Flex 13, with 8 infrared cameras</t>
  </si>
  <si>
    <t>Gavin Buckingham</t>
  </si>
  <si>
    <t>Examining the size–weight illusion with visuo-haptic conflict in immersive virtual reality</t>
  </si>
  <si>
    <t>10.1177/1747021819835808</t>
  </si>
  <si>
    <t>Education/Sciences</t>
  </si>
  <si>
    <t>Oculus Rift CV1; Unity</t>
  </si>
  <si>
    <t>Optitrack Flex 13 with eight cameras and a laptop</t>
  </si>
  <si>
    <t>Davide Calandra, Federico De Lorenzis, Alberto Cannavò, Fabrizio Lamberti</t>
  </si>
  <si>
    <t>Immersive virtual reality and passive haptic interfaces to improve procedural learning in a formal training course for first responders</t>
  </si>
  <si>
    <t>10.1007/s10055-022-00704-9</t>
  </si>
  <si>
    <t>Indirectly based on the VRUSE (Virtual Reality Usability Evaluation) questionnaire.</t>
  </si>
  <si>
    <t>HTC Vive Pro (HMD); HTC Vive Wireless Adapter Kit</t>
  </si>
  <si>
    <t>HTC Vive Tracker infrared-emitting base stations</t>
  </si>
  <si>
    <t>Cannavo, A. and Pacchiotti, S. and Retta, N. and Terzoli, M. and Spallone, R. and Lamberti, F.</t>
  </si>
  <si>
    <t>Passive Haptics and Conversational Avatars for Interacting with Ancient Egypt Remains in High-Fidelity Virtual Reality Experiences</t>
  </si>
  <si>
    <t>10.1145/3648003</t>
  </si>
  <si>
    <t>Passive Haptic; Physical Props</t>
  </si>
  <si>
    <t>HTC Vive; Meta Quest 2</t>
  </si>
  <si>
    <t>Valve Lighthouse tracking system; HTC Vive Tracker</t>
  </si>
  <si>
    <t>Cardoso, J. and Ribeiro, J.</t>
  </si>
  <si>
    <t>Tangible VR Book: Exploring the Design Space of Marker-Based Tangible Interfaces for Virtual Reality</t>
  </si>
  <si>
    <t>10.3390/app11041367</t>
  </si>
  <si>
    <t>Smartphone-based VR</t>
  </si>
  <si>
    <t>Visual markers</t>
  </si>
  <si>
    <t>Cauquis, J. and Peillard, E. and Dominjon, L. and Duval, T. and Moreau, G.</t>
  </si>
  <si>
    <t>Investigating Whether the Mass of a Tool Replica Influences Virtual Training Learning Outcomes</t>
  </si>
  <si>
    <t>10.1109/TVCG.2024.3372041</t>
  </si>
  <si>
    <t>HTC VIVE Pro Eye</t>
  </si>
  <si>
    <t>Optitrack system comprising 24 Flex 13 cameras</t>
  </si>
  <si>
    <t>Baekdong Cha, Yoosung Bae, Chang-Gyu Lee, Daehyeon Jeong, Jeha Ryu</t>
  </si>
  <si>
    <t>Design and User Evaluation of Haptic Augmented Virtuality System for Immersive Virtual Training</t>
  </si>
  <si>
    <t>10.1007/s12555-021-0072-6</t>
  </si>
  <si>
    <t>SoA*</t>
  </si>
  <si>
    <t>Customized questionnaire</t>
  </si>
  <si>
    <t>Engineering; Computing/HCI; Education/Sciences</t>
  </si>
  <si>
    <t>HTC VIVE HMD; HTC VIVE PRO HMD; Unity 3D</t>
  </si>
  <si>
    <t>HTC VIVE tracking system</t>
  </si>
  <si>
    <t>Amine Chellali, Lucas Herfort, Guillaume Loup, Marie-Hélène Ferrer</t>
  </si>
  <si>
    <t>The Impact of Visual and Haptic Feedback on Keyboard Typing in Immersive Virtual Environments</t>
  </si>
  <si>
    <t>10.1109/tvcg.2025.3549555</t>
  </si>
  <si>
    <t>Meta Quest Pro; Unity 3D</t>
  </si>
  <si>
    <t>Meta Quest Pro Alignment</t>
  </si>
  <si>
    <t>Jixiang Chen, Jing Chen, Kai Liu, Haochen Chang, Shanfeng Fu, Jian Yang</t>
  </si>
  <si>
    <t>Robust 6DoF Pose Tracking Considering Contour and Interior Correspondence Uncertainty for AR Assembly Guidance</t>
  </si>
  <si>
    <t>10.1109/tim.2025.3571175</t>
  </si>
  <si>
    <t>Manipulated Object</t>
  </si>
  <si>
    <t>Proprietary AR headset; Unity 3D</t>
  </si>
  <si>
    <t>Proposed algorithm using the developed HMD module</t>
  </si>
  <si>
    <t>Ken Chen, Thaivalappil N.M. Nadirsha, Nimrod Lilith, Sameer Alam, Åsa Svensson</t>
  </si>
  <si>
    <t>Tangible digital twin with shared visualization for collaborative air traffic management operations</t>
  </si>
  <si>
    <t>10.1016/j.trc.2024.104546</t>
  </si>
  <si>
    <t>Microsoft HoloLens 2; Unity 3D</t>
  </si>
  <si>
    <t>Cheng, L. and Chang, L. and Marwecki, S. and Baudisch, P.</t>
  </si>
  <si>
    <t>iTurk: Turning Passive Haptics into Active Haptics by Making Users Reconfigure Props in Virtual Reality</t>
  </si>
  <si>
    <t>10.1145/3173574.3173663</t>
  </si>
  <si>
    <t>Zotac VR go backpack PC; HTC Vive; Unity 3D</t>
  </si>
  <si>
    <t>HTC Vive Track</t>
  </si>
  <si>
    <t>Cheng, L. and Marwecki, S. and Baudisch, P.</t>
  </si>
  <si>
    <t>Mutual Human Actuation</t>
  </si>
  <si>
    <t>10.1145/3126594.3126667</t>
  </si>
  <si>
    <t>Samsung S6; GearVR</t>
  </si>
  <si>
    <t>9 OptiTrack Prime 17w cameras</t>
  </si>
  <si>
    <t>Tung-Jui Chuang, Yao-Yang Tsai, Shana Smith</t>
  </si>
  <si>
    <t>A visuo-haptic mixed reality manual milling training simulator</t>
  </si>
  <si>
    <t>10.1007/s10055-023-00816-w</t>
  </si>
  <si>
    <t>Vuforia Engine; ROS bridge</t>
  </si>
  <si>
    <t>Mara Coduri, Andrea Calandrino, Giulia Addiego Mobilio, Maura Casadio, Serena Ricci</t>
  </si>
  <si>
    <t>RiNeo MR: A mixed reality simulator for newborn life support training</t>
  </si>
  <si>
    <t>10.1371/journal.pone.0294914</t>
  </si>
  <si>
    <t>Igroup Presence Questionnaire (IPQ)</t>
  </si>
  <si>
    <t>HTC Vive; Unity 3D; Leap Motion</t>
  </si>
  <si>
    <t>HTC Vive Tracker</t>
  </si>
  <si>
    <t>de Tinguy, X. and Pacchierotti, C. and Marchal, M. and Lecuyer, A.</t>
  </si>
  <si>
    <t>Toward Universal Tangible Objects: Optimizing Haptic Pinching Sensations in 3D Interaction</t>
  </si>
  <si>
    <t>10.1109/VR.2019.8798205</t>
  </si>
  <si>
    <t>HTC Vive</t>
  </si>
  <si>
    <t>Vive Tracker; Reflective Markers</t>
  </si>
  <si>
    <t>Degraen, D. and Zenner, A. and Krüger, A.</t>
  </si>
  <si>
    <t>Enhancing Texture Perception in Virtual Reality Using 3D-Printed Hair Structures</t>
  </si>
  <si>
    <t>10.1145/3290605.3300479</t>
  </si>
  <si>
    <t>Slater-Usoh-Steed (SUS) Presence Questionnaire</t>
  </si>
  <si>
    <t>HTC Vive; Unity 3D; Desktop</t>
  </si>
  <si>
    <t>Vive Tracker</t>
  </si>
  <si>
    <t>Zach Duer, Todd Ogle, David Hicks, Scott Fralin, Thomas J. Tucker, Run Yu</t>
  </si>
  <si>
    <t>Making the Invisible Visible: Illuminating the Hidden Histories of the World War I Tunnels at Vauquois Through a Hybridized Virtual Reality Exhibition</t>
  </si>
  <si>
    <t>10.1109/mcg.2020.2985166</t>
  </si>
  <si>
    <t>HTC Vive Pro</t>
  </si>
  <si>
    <t>Eckstein, B. and Krapp, E. and Lugrin, B.</t>
  </si>
  <si>
    <t>Towards Serious Games and Applications in Smart Substitutional Reality</t>
  </si>
  <si>
    <t>10.1109/VS-Games.2018.8493444</t>
  </si>
  <si>
    <t>Spatial Presence Experience Scale (SPES)</t>
  </si>
  <si>
    <t>HTC Vive; Unity 3D</t>
  </si>
  <si>
    <t>Vive trackers; Sensor Kinect</t>
  </si>
  <si>
    <t>Englmeier, D. and O'Hagan, J. and Zhang, M. and Alt, F. and Butz, A. and Höllerer, T. and Williamson, J.</t>
  </si>
  <si>
    <t>TangibleSphere - Interaction Techniques for Physical and Virtual Spherical Displays</t>
  </si>
  <si>
    <t>10.1145/3419249.3420101</t>
  </si>
  <si>
    <t>Hans-Georg Enkler, W Kunert, Stefan Pfeffer, Kai-Jonas Bock, Steffen Axt, Jonas Johannink, Christoph Reich</t>
  </si>
  <si>
    <t>Towards engineering a portable platform for laparoscopic pre-training in virtual reality with haptic feedback</t>
  </si>
  <si>
    <t>10.1016/j.vrih.2023.10.007</t>
  </si>
  <si>
    <t>Computing/HCI; Health/Medicine; Engineering</t>
  </si>
  <si>
    <t>HMD; Unity 3D</t>
  </si>
  <si>
    <t>Hybrid Techniques</t>
  </si>
  <si>
    <t>Fabichacki Pereira, M. and Rueda Rincon, N. and Yee, R. and Salomon, C. and Teng, D. and Makela, V.</t>
  </si>
  <si>
    <t>CrossRealityMesh: Importing and Interacting with Real-World Objects in Virtual Reality</t>
  </si>
  <si>
    <t>10.1145/3757980.3757995</t>
  </si>
  <si>
    <t>Camera passthrough</t>
  </si>
  <si>
    <t>Fang, C. and Harrison, C.</t>
  </si>
  <si>
    <t>Retargeted Self-Haptics for Increased Immersion in VR without Instrumentation</t>
  </si>
  <si>
    <t>10.1145/3472749.3474810</t>
  </si>
  <si>
    <t>Avatar Embodiment Questionnaire by Gonzalez-Franco &amp; Peck</t>
  </si>
  <si>
    <t>Oculus Rift DK2; Leap Motion</t>
  </si>
  <si>
    <t>Leap Motion for hand tracking</t>
  </si>
  <si>
    <t>Feick, M. and Bateman, S. and Tang, A. and Miede, A. and Marquardt, N.</t>
  </si>
  <si>
    <t>Tangi: Tangible Proxies For Embodied Object Exploration And Manipulation In Virtual Reality</t>
  </si>
  <si>
    <t>10.1109/ISMAR50242.2020.00042</t>
  </si>
  <si>
    <t>Proxy Objects</t>
  </si>
  <si>
    <t>HTC VIVE; Vive tracker; Leap Motion; Unity 3D</t>
  </si>
  <si>
    <t>HTC VIVE (Vive Tracker); Arduino Nano</t>
  </si>
  <si>
    <t>Feick, M. and Kleer, N. and Zenner, A. and Tang, A. and Kruger, A.</t>
  </si>
  <si>
    <t>Visuo-haptic Illusions for Linear Translation and Stretching using Physical Proxies in Virtual Reality</t>
  </si>
  <si>
    <t>10.1145/3411764.3445456</t>
  </si>
  <si>
    <t>Haptic Retargeting</t>
  </si>
  <si>
    <t>Physical Proxies</t>
  </si>
  <si>
    <t>HTC VIVE; Leap Motion</t>
  </si>
  <si>
    <t>HTC VIVE tracker; Arduino</t>
  </si>
  <si>
    <t>Feick, M. and Regitz, K. and Tang, A. and Kruger, A.</t>
  </si>
  <si>
    <t>Designing Visuo-Haptic Illusions with Proxies in Virtual Reality: Exploration of Grasp, Movement Trajectory and Object Mass</t>
  </si>
  <si>
    <t>10.1145/3491102.3517671</t>
  </si>
  <si>
    <t>HTC VIVE Pro Eye; Unity 3D</t>
  </si>
  <si>
    <t>OptiTrack with five Flex13 cameras and Vive Tracker</t>
  </si>
  <si>
    <t>Feick, M. and Biyikli, C. and Gani, K. and Wittig, A. and Tang, A. and Kruger, A.</t>
  </si>
  <si>
    <t>VoxelHap: A Toolkit for Constructing Proxies Providing Tactile and Kinesthetic Haptic Feedback in Virtual Reality</t>
  </si>
  <si>
    <t>10.1145/3586183.3606722</t>
  </si>
  <si>
    <t>HTC Vive trackers</t>
  </si>
  <si>
    <t>Holly Gagnon, Jeanine K. Stefanucci, Sarah H. Creem-Regehr, Bobby Bodenheimer</t>
  </si>
  <si>
    <t>Calibrated Passability Perception in Virtual Reality Transfers to Augmented Reality</t>
  </si>
  <si>
    <t>10.1145/3613450</t>
  </si>
  <si>
    <t>Microsoft HoloLens; HTC Vive Pro; Unity 3D</t>
  </si>
  <si>
    <t>Gainer, S. and Eadara, S. and Haskins, J. and Huse, W. and Zhu, B. and Boyd, B. and Laird, C. and Farantatos, J. and Jerald, J.</t>
  </si>
  <si>
    <t>A Customized Input Device for Simulating the Detection of Hazardous Materials</t>
  </si>
  <si>
    <t>10.1109/VRW50115.2020.00288</t>
  </si>
  <si>
    <t>SteamVR; HTC Vive Puck</t>
  </si>
  <si>
    <t>SteamVR/Lighthouse; IMU</t>
  </si>
  <si>
    <t>Julia Galán, Carlos García-García, Francisco Felip Miralles, Manuel Contero</t>
  </si>
  <si>
    <t>Does a presentation Media Influence the Evaluation of Consumer Products? A Comparative Study to Evaluate Virtual Reality, Virtual Reality with Passive Haptics and a Real Setting.</t>
  </si>
  <si>
    <t>10.9781/ijimai.2021.01.001</t>
  </si>
  <si>
    <t>Oculus Rift VR headset; Unity 3D</t>
  </si>
  <si>
    <t>Gonzalez Avila, J. and McClelland, J. and Teather, R. and Figueroa, P. and Girouard, A.</t>
  </si>
  <si>
    <t>Adaptic: A Shape Changing Prop with Haptic Retargeting</t>
  </si>
  <si>
    <t>10.1145/3485279.3485293</t>
  </si>
  <si>
    <t>Rift CV1; Unity 3D</t>
  </si>
  <si>
    <t>Razer Hydra (magnetic tracker)</t>
  </si>
  <si>
    <t>Mac Greenslade, Adrian Clark, Stephan Lukosch</t>
  </si>
  <si>
    <t>Using Everyday Objects as Props for Virtual Objects in First Person Augmented Reality Games: An Elicitation Study</t>
  </si>
  <si>
    <t>10.1145/3611052</t>
  </si>
  <si>
    <t>Everyday Objects</t>
  </si>
  <si>
    <t>Augmented Reality Immersion (ARI)</t>
  </si>
  <si>
    <t>OptiTrack with 16 Prime 22 cameras; Reflective markers</t>
  </si>
  <si>
    <t>Guo, J. and Ma, T. and Weng, D.</t>
  </si>
  <si>
    <t>Synchronous mixed reality (SMR): A personalized virtual-real fusion framework with high immersion and effective interaction</t>
  </si>
  <si>
    <t>10.1002/jsid.1259</t>
  </si>
  <si>
    <t>Immersion questionnaire (ImQ)</t>
  </si>
  <si>
    <t>HTC VIVE; Logitech C920 PRO HD Webcam</t>
  </si>
  <si>
    <t>YOLACT-550-ResNet50</t>
  </si>
  <si>
    <t>Han, P. and Chen, Y. and Lee, K. and Wang, H. and Hsieh, C. and Hsiao, J. and Chou, C. and Hung, Y.</t>
  </si>
  <si>
    <t>Haptic around: multiple tactile sensations for immersive environment and interaction in virtual reality</t>
  </si>
  <si>
    <t>10.1145/3281505.3281507</t>
  </si>
  <si>
    <t>Hybrid-Haptic Feedback</t>
  </si>
  <si>
    <t>Computing/HCI; Education/Sciences; Entertainment/Games</t>
  </si>
  <si>
    <t>HTC VIVE Pro; Unity 3D; Computer</t>
  </si>
  <si>
    <t>VIVE Tracker; Static Spatial Correspondence</t>
  </si>
  <si>
    <t>Mahdi Hanzaki and Pierre Boulanger</t>
  </si>
  <si>
    <t>Proxy Haptics for Surgical Training</t>
  </si>
  <si>
    <t>10.1109/SVR51698.2020.00033</t>
  </si>
  <si>
    <t>Proxy Haptic</t>
  </si>
  <si>
    <t>Harley, D. and Tarun, A. and Germinario, D. and Mazalek, A.</t>
  </si>
  <si>
    <t>Tangible VR: Diegetic Tangible Objectsfor Virtual Reality Narratives</t>
  </si>
  <si>
    <t>10.1145/3064663.3064680</t>
  </si>
  <si>
    <t>Semi-structured interviews and customized questionnaires</t>
  </si>
  <si>
    <t>Oculus DK2; Unity 3D</t>
  </si>
  <si>
    <t>IMU (accelerometer, gyroscope, magnetometer), Blend Micro board (Arduino-based)</t>
  </si>
  <si>
    <t>David Harris, Callum O&amp;#039;Malley, Tom Arthur, Jack Owen Evans, Gavin Buckingham</t>
  </si>
  <si>
    <t>Comparing object lifting kinematics and the size–weight illusion between physical reality and virtual reality</t>
  </si>
  <si>
    <t>10.3758/s13414-025-03091-w</t>
  </si>
  <si>
    <t>HTC Vive Pro Eye; Computer; Unity 3D</t>
  </si>
  <si>
    <t>HTC Vive Tracker; Lighthouse base stations</t>
  </si>
  <si>
    <t>Hettiarachchi, A. and Wigdor, D.</t>
  </si>
  <si>
    <t>Annexing Reality: Enabling Opportunistic Use of Everyday Objects as Tangible Proxies in Augmented Reality</t>
  </si>
  <si>
    <t>10.1145/2858036.2858134</t>
  </si>
  <si>
    <t>Meta 1; Kinect; Computer</t>
  </si>
  <si>
    <t>Kinect-based tracking and detection algorithms</t>
  </si>
  <si>
    <t>Hoppe, A. and Marek, F. and Camp, F. and Stiefelhagen, R.</t>
  </si>
  <si>
    <t>Extending Movable Surfaces with Touch Interaction Using the VirtualTablet: An Extended View</t>
  </si>
  <si>
    <t>10.25046/aj050243</t>
  </si>
  <si>
    <t>HTC Vive Pro; Unity 3D</t>
  </si>
  <si>
    <t>Lighthouse; IMU; Fiducial markers; Camera</t>
  </si>
  <si>
    <t>Hoppe, M. and Knierim, P. and Kosch, T. and Funk, M. and Futami, L. and Schneegass, S. and Henze, N. and Schmidt, A. and Machulla, T.</t>
  </si>
  <si>
    <t>VRHapticDrones: Providing Haptics in Virtual Reality through Quadcopters</t>
  </si>
  <si>
    <t>10.1145/3282894.3282898</t>
  </si>
  <si>
    <t>Active Haptics</t>
  </si>
  <si>
    <t>Haptic Proxy</t>
  </si>
  <si>
    <t>Oculus Rift; Unity 3D; Computer; Leap Motion</t>
  </si>
  <si>
    <t>OptiTrack Motive with 12 Flex 3 cameras; Drones</t>
  </si>
  <si>
    <t>Hoshikawa, Y. and Fujita, K. and Takashima, K. and Fjeld, M. and Kitamura, Y.</t>
  </si>
  <si>
    <t>RedirectedDoors+: Door-Opening Redirection with Dynamic Haptics in Room-Scale VR</t>
  </si>
  <si>
    <t>10.1109/TVCG.2024.3372105</t>
  </si>
  <si>
    <t>Computing/HCI; Entertainment/Games; Engineering</t>
  </si>
  <si>
    <t>Valve Index; Computer; Unity 3D</t>
  </si>
  <si>
    <t>HTC VIVE base stations; Vive Tracker; Robots</t>
  </si>
  <si>
    <t>Huard, A. and Chen, M. and Sra, M.</t>
  </si>
  <si>
    <t>CardsVR: A Two-Person VR Experience with Passive Haptic Feedback from a Deck of Playing Cards</t>
  </si>
  <si>
    <t>10.1109/ISMAR55827.2022.00070</t>
  </si>
  <si>
    <t>Oculus Quest 2; Smartphones; Unity 3D</t>
  </si>
  <si>
    <t>Visual markers; Smartphones</t>
  </si>
  <si>
    <t>Vedad Hulusić, Linda Gusia, Nita Luci, Michael Smith</t>
  </si>
  <si>
    <t>Tangible User Interfaces for Enhancing User Experience of Virtual Reality Cultural Heritage Applications for Utilization in Educational Environment</t>
  </si>
  <si>
    <t>10.1145/3593429</t>
  </si>
  <si>
    <t>Game Experience Questionnaire (GEQ) – Immersion component and Immersion Experience Questionnaire (IEQ)</t>
  </si>
  <si>
    <t>Oculus Quest 2; Unity 3D</t>
  </si>
  <si>
    <t>Ernest Kabuye, Philip R. LeDuc, Jonathan Cagan</t>
  </si>
  <si>
    <t>A mixed reality system combining augmented reality, 3D bio-printed physical environments and inertial measurement unit sensors for task planning</t>
  </si>
  <si>
    <t>10.1007/s10055-023-00777-0</t>
  </si>
  <si>
    <t>Target Object</t>
  </si>
  <si>
    <t>Health/Medicine; Computing/HCI; Engineering</t>
  </si>
  <si>
    <t>Spatial correspondence between IMU and scalpel</t>
  </si>
  <si>
    <t>Kahl, D. and Ruble, M. and Kruger, A.</t>
  </si>
  <si>
    <t>Investigation of Size Variations in Optical See-through Tangible Augmented Reality</t>
  </si>
  <si>
    <t>10.1109/ISMAR52148.2021.00029</t>
  </si>
  <si>
    <t>Customized AR presence and TAR presence questionnaires</t>
  </si>
  <si>
    <t>OptiTrack (with 11 Flex 3 cameras)</t>
  </si>
  <si>
    <t>The Influence of Environmental Lighting on Size Variations in Optical See-through Tangible Augmented Reality</t>
  </si>
  <si>
    <t>10.1109/VR51125.2022.00030</t>
  </si>
  <si>
    <t>OptiTrack with OptiTrack Prime X 13 cameras</t>
  </si>
  <si>
    <t>Ho-San Kang, J. Yang, Beom-Seok Ko, Bo-Seong Kim, Oh-Young Song, Soo-Mi Choi</t>
  </si>
  <si>
    <t>Integrated Augmented and Virtual Reality Technologies for Realistic Fire Drill Training</t>
  </si>
  <si>
    <t>10.1109/mcg.2023.3303028</t>
  </si>
  <si>
    <t>Tangible Props</t>
  </si>
  <si>
    <t>VIVE Pro; Computer; Unity 3D</t>
  </si>
  <si>
    <t>VIVE Tracker; Gyroscope sensor (MPU-9265); Arduino</t>
  </si>
  <si>
    <t>Hyeokmook Kang, Taeho Kang, Christian Wallraven</t>
  </si>
  <si>
    <t>Putting Vision and Touch into Conflict: Results From a Multimodal Mixed Reality Setup</t>
  </si>
  <si>
    <t>10.1109/tvcg.2022.3207241</t>
  </si>
  <si>
    <t>Haptic Object</t>
  </si>
  <si>
    <t>Natalia Karhu, Jussi Rantala, Ahmed Farooq, Antti Sand, Kyösti Pennanen, Jenni Lappi, Mohit Nayak, Nesli Sözer, Roope Raisamo</t>
  </si>
  <si>
    <t>The effects of haptic, visual and olfactory augmentations on food consumed while wearing an extended reality headset</t>
  </si>
  <si>
    <t>10.1007/s12193-024-00447-8</t>
  </si>
  <si>
    <t>Varjo XR‑3</t>
  </si>
  <si>
    <t>QR code markers</t>
  </si>
  <si>
    <t>Minseok Kim, Kyeong-Beom Park, Sung Ho Choi, Jae Yeol Lee</t>
  </si>
  <si>
    <t>Inside-reachable and see-through augmented reality Shell for 3D visualization and tangible interaction</t>
  </si>
  <si>
    <t>10.1007/s11042-019-08324-3</t>
  </si>
  <si>
    <t>Tangible Object</t>
  </si>
  <si>
    <t>Google Cardboard</t>
  </si>
  <si>
    <t>Vuforia framework</t>
  </si>
  <si>
    <t>Krekhov, A. and Emmerich, K. and Bergmann, P. and Cmentowski, S. and Krüger, J.</t>
  </si>
  <si>
    <t>Self-Transforming Controllers for Virtual Reality First Person Shooters</t>
  </si>
  <si>
    <t>10.1145/3116595.3116615</t>
  </si>
  <si>
    <t>HMD controller embedded in the object</t>
  </si>
  <si>
    <t>Chang-Gyu Lee, Gregory Lynn Dunn, Ian Oakley, Jeha Ryu</t>
  </si>
  <si>
    <t>Visual Guidance for a Spatial Discrepancy Problem of in Encountered-Type Haptic Display</t>
  </si>
  <si>
    <t>10.1109/tsmc.2017.2719037</t>
  </si>
  <si>
    <t>Oculus Rift DK2</t>
  </si>
  <si>
    <t>Robotic arm with optical markers; virtual scene redirection algorithm</t>
  </si>
  <si>
    <t>Xuyu Li, Priyansh Jalan, John Dingliana</t>
  </si>
  <si>
    <t>The design and evaluation of a tangible interface for cutaway visualization in Mixed Reality</t>
  </si>
  <si>
    <t>10.1016/j.cag.2025.104454</t>
  </si>
  <si>
    <t>Tangible Interface</t>
  </si>
  <si>
    <t>Vuforia Engine</t>
  </si>
  <si>
    <t>Li, Y. and Ji, H. and Zhang, Y. and Zhang, H. and Hu, X. and Luo, Y.</t>
  </si>
  <si>
    <t>Tangible Twins: A Haptic Proxy and Digital Twin Framework for Virtual Physics Experiments</t>
  </si>
  <si>
    <t>10.1145/3779232.3779274</t>
  </si>
  <si>
    <t>Sensors in physical objects</t>
  </si>
  <si>
    <t>Lin, C. and Cheng, T. and Ma, X.</t>
  </si>
  <si>
    <t>ARchitect: Building Interactive Virtual Experiences from Physical Affordances by Bringing Human-in-the-Loop</t>
  </si>
  <si>
    <t>10.1145/3313831.3376614</t>
  </si>
  <si>
    <t>Google Cardboard; Smartphon; Unity 3D</t>
  </si>
  <si>
    <t>Unity ARFoundation; MobileNetSDD</t>
  </si>
  <si>
    <t>Lohse, A. and Kjar, C. and Hamulic, E. and Lima, I. and Jensen, T. and Bruni, L. and Nilsson, N.</t>
  </si>
  <si>
    <t>Leveraging Change Blindness for Haptic Remapping in Virtual Environments</t>
  </si>
  <si>
    <t>10.1109/WEVR.2019.8809587</t>
  </si>
  <si>
    <t>Vive Trackers; Vive Lighthouse</t>
  </si>
  <si>
    <t>Marwecki, S. and Wilson, A. and Ofek, E. and Gonzalez Franco, M. and Holz, C.</t>
  </si>
  <si>
    <t>Mise-Unseen: Using Eye Tracking to Hide Virtual Reality Scene Changes in Plain Sight</t>
  </si>
  <si>
    <t>10.1145/3332165.3347919</t>
  </si>
  <si>
    <t>VIVE Pro HMD; Unity 3D</t>
  </si>
  <si>
    <t>Mercado, V. and Howard, T. and Si-Mohammed, H. and Argelaguet, F. and Lecuyer, A.</t>
  </si>
  <si>
    <t>Alfred: the Haptic Butler On-Demand Tangibles for Object Manipulation in Virtual Reality using an ETHD</t>
  </si>
  <si>
    <t>10.1109/WHC49131.2021.9517250</t>
  </si>
  <si>
    <t>Syed T. Mubarrat, S. Chowdhury, Antonio Fernandes</t>
  </si>
  <si>
    <t>Evaluating Visual-Spatiotemporal Co-Registration of a Physics-Based Virtual Reality Haptic Interface</t>
  </si>
  <si>
    <t>10.1109/access.2024.3391186</t>
  </si>
  <si>
    <t>HTC Vive Pro Eye; Unity 3D; Computer</t>
  </si>
  <si>
    <t>HTC VIVE Base Stations; Vive Tracker</t>
  </si>
  <si>
    <t>Caitlin Elisabeth Naylor, Michael J. Proulx, Gavin Buckingham</t>
  </si>
  <si>
    <t>Using Immersive Virtual Reality to Examine How Visual and Tactile Cues Drive the Material-Weight Illusion</t>
  </si>
  <si>
    <t>10.3758/s13414-021-02414-x</t>
  </si>
  <si>
    <t>Oculus Rift CV1; Unity 3D</t>
  </si>
  <si>
    <t>OptiTrack Flex 13 with eight cameras and markers</t>
  </si>
  <si>
    <t>Manca Ogrizek, Michael Mortimer, Kaja Antlej, Tiziana C. Callari, Hans Stefan, Ben Horan</t>
  </si>
  <si>
    <t>Evaluating the impact of passive physical everyday tools on interacting with virtual reality museum objects</t>
  </si>
  <si>
    <t>10.1007/s10055-023-00915-8</t>
  </si>
  <si>
    <t>Oculus Quest; Unity 3D</t>
  </si>
  <si>
    <t>Natural interaction based on hand poses</t>
  </si>
  <si>
    <t>Palma, G. and Perry, S. and Cignoni, P.</t>
  </si>
  <si>
    <t>Augmented Virtuality Using Touch-Sensitive 3D-Printed Objects</t>
  </si>
  <si>
    <t>10.3390/rs13112186</t>
  </si>
  <si>
    <t>HTC Vive; SteamVR; Unity 3D</t>
  </si>
  <si>
    <t>Zhigeng Pan, Tianren Luo, Mingmin Zhang, Ning Cai, Yongheng Li, Jinda Miao, Zheng Li, Zhipeng Pan, Yuze Shen, Jijian Lu</t>
  </si>
  <si>
    <t>MagicChem: a MR system based on needs theory for chemical experiments</t>
  </si>
  <si>
    <t>10.1007/s10055-021-00560-z</t>
  </si>
  <si>
    <t>HMD not reported; Unity 3D</t>
  </si>
  <si>
    <t>3 Cameras and Fiducial Markers</t>
  </si>
  <si>
    <t>Panda, P. and Ho, C. and Ham, D.</t>
  </si>
  <si>
    <t>Morphaces: Exploring Morphable Surfaces for Tangible Sketching in VR</t>
  </si>
  <si>
    <t>10.1145/3450741.3465387</t>
  </si>
  <si>
    <t>Oculus Quest; Oculus Rift</t>
  </si>
  <si>
    <t>HMD Controller</t>
  </si>
  <si>
    <t>Reinschluessel, A. and Muender, T. and Doring, T. and Uslar, V. and Luck, T. and Weyhe, D. and Schenk, A. and Malaka, R.</t>
  </si>
  <si>
    <t>A Study on the Size of Tangible Organ-shaped Controllers for Exploring Medical Data in VR</t>
  </si>
  <si>
    <t>10.1145/3411763.3451594</t>
  </si>
  <si>
    <t>HTC VIVE Pro; Unity 3D</t>
  </si>
  <si>
    <t>HTC VIVE Tracker</t>
  </si>
  <si>
    <t>Antonio Rodríguez Fernández, Alex van den Berg, Salvatore Luca Cucinella, Joan Lobo-Prat, Josep M. Font-Llagunes, Laura Marchal–Crespo</t>
  </si>
  <si>
    <t>Immersive virtual reality for learning exoskeleton-like virtual walking: a feasibility study</t>
  </si>
  <si>
    <t>10.1186/s12984-024-01482-y</t>
  </si>
  <si>
    <t>Virtual Embodiment Questionnaire adapted from the questionnaires by Longo et al. (2008) and Kalckert et al. (2012)</t>
  </si>
  <si>
    <t>HTC VIVE Pro 2; Computer; Unity 3D</t>
  </si>
  <si>
    <t>Sagheb, S. and Liu, F. and Bahremand, A. and Kidane, A. and LiKamWa, R.</t>
  </si>
  <si>
    <t>SWISH: A Shifting-Weight Interface of Simulated Hydrodynamics for Haptic Perception of Virtual Fluid Vessels</t>
  </si>
  <si>
    <t>10.1145/3332165.3347870</t>
  </si>
  <si>
    <t>Passive Proxies</t>
  </si>
  <si>
    <t>HTC Vive Lighthouse and the HTC Vive Tracker</t>
  </si>
  <si>
    <t>Genki Sasaki, Hiroshi Igarashi</t>
  </si>
  <si>
    <t>Exploring Remote Collaborative Tasks: The Impact of Avatar Representation on Dyadic Haptic Interactions in Shared Virtual Environments</t>
  </si>
  <si>
    <t>10.1109/tvcg.2025.3580546</t>
  </si>
  <si>
    <t>Haptic Interface</t>
  </si>
  <si>
    <t>Networked Minds Social Presence Questionnaire (NMSPQ)</t>
  </si>
  <si>
    <t>David Scherfgen and Jonas Schild</t>
  </si>
  <si>
    <t>Estimating the Pose of a Medical Manikin for Haptic Augmentation of a Virtual Patient in Mixed Reality Training</t>
  </si>
  <si>
    <t>10.1145/3488162.3488166</t>
  </si>
  <si>
    <t>Valve Index; Unity 3D</t>
  </si>
  <si>
    <t>SteamVR tracking system; Open CV</t>
  </si>
  <si>
    <t>Seo, H. and Yi, J. and Balan, R. and Lee, Y.</t>
  </si>
  <si>
    <t>GradualReality: Enhancing Physical Object Interaction in Virtual Reality via Interaction State-Aware Blending</t>
  </si>
  <si>
    <t>10.1145/3654777.3676463</t>
  </si>
  <si>
    <t>HTC VIVE Pro2; Unity 3D</t>
  </si>
  <si>
    <t>HTC VIVE tracker</t>
  </si>
  <si>
    <t>Kalpana Shankhwar, Tung-Jui Chuang, Yao-Yang Tsai, Shana Smith</t>
  </si>
  <si>
    <t>A visuo-haptic extended reality–based training system for hands-on manual metal arc welding training</t>
  </si>
  <si>
    <t>10.1007/s00170-022-09328-4</t>
  </si>
  <si>
    <t>Education/Sciences; Engineering</t>
  </si>
  <si>
    <t>HTC Vive Pro; Computer</t>
  </si>
  <si>
    <t>Vive trackers</t>
  </si>
  <si>
    <t>Shapira, L. and Amores, J. and Benavides, X.</t>
  </si>
  <si>
    <t>TactileVR: Integrating Physical Toys into Learn and Play Virtual Reality Experiences</t>
  </si>
  <si>
    <t>10.1109/ISMAR.2016.25</t>
  </si>
  <si>
    <t>OptiTrack Prime 13 with twelve cameras</t>
  </si>
  <si>
    <t>Carla Silva and Rômulo Vieira and Daniela Trevisan and Débora Muchaluat-Saade</t>
  </si>
  <si>
    <t>Análise de Sinais de Eletroencefalograma para Medição de Atenção em um Ambiente Musical Imersivo Multissensorial</t>
  </si>
  <si>
    <t>10.5753/webmedia.2025.15815</t>
  </si>
  <si>
    <t>Haptic Effect (Efeito Háptico)</t>
  </si>
  <si>
    <t>HMD and engine not reported</t>
  </si>
  <si>
    <t>Computer Vision and accelerometer sensors</t>
  </si>
  <si>
    <t>Matheus André Silva and Cleber Campos and César Rennó-Costa and Alyson Souza</t>
  </si>
  <si>
    <t>Bateria Expandida em Realidade Aumentada para Experiências Imersivas no Meta Quest 3</t>
  </si>
  <si>
    <t>10.5753/svr_estendido.2025.15737</t>
  </si>
  <si>
    <t>Hand gestures</t>
  </si>
  <si>
    <t>Simeone, A. and Velloso, E.</t>
  </si>
  <si>
    <t>Substitutional reality: bringing virtual reality home</t>
  </si>
  <si>
    <t>10.1145/2810044</t>
  </si>
  <si>
    <t>Oculus Rift; HTC Vive</t>
  </si>
  <si>
    <t>Optical tracking</t>
  </si>
  <si>
    <t>Spence, J. and Darzentas, D. and Huang, Y. and Cameron, H. and Beestin, E. and Benford, S.</t>
  </si>
  <si>
    <t>VRtefacts: Performative Substitutional Reality with Museum Objects</t>
  </si>
  <si>
    <t>10.1145/3357236.3395459</t>
  </si>
  <si>
    <t>Vive Lighthouses; HTC Vive Trackers</t>
  </si>
  <si>
    <t>Sra, M. and Garrido-Jurado, S. and Maes, P.</t>
  </si>
  <si>
    <t>Oasis: Procedurally Generated Social Virtual Spaces from 3D Scanned Real Spaces</t>
  </si>
  <si>
    <t>10.1109/TVCG.2017.2762691</t>
  </si>
  <si>
    <t>Tango HMD (VR tablet based)</t>
  </si>
  <si>
    <t>ICP (Iterative Closest Point) algorithm</t>
  </si>
  <si>
    <t>Strandholt, P. and Dogaru, O. and Nilsson, N. and Nordahl, R. and Serafin, S.</t>
  </si>
  <si>
    <t>Knock on Wood: Combining Redirected Touching and Physical Props for Tool-Based Interaction in Virtual Reality</t>
  </si>
  <si>
    <t>10.1145/3313831.3376303</t>
  </si>
  <si>
    <t>HTC Vive Pro; Computer; Unity 3D</t>
  </si>
  <si>
    <t>Vive trackers; Vive Lighthouses</t>
  </si>
  <si>
    <t>Sun, A. and Wu, J. and Fan, R. and Im, S. and Wang, L.</t>
  </si>
  <si>
    <t>Efficient and Comfortable Haptic Retargeting With Reset Point Optimization</t>
  </si>
  <si>
    <t>10.1109/TVCG.2024.3523042</t>
  </si>
  <si>
    <t>Sun, M. and He, W. and Zhang, L. and Wang, P.</t>
  </si>
  <si>
    <t>Smart Haproxy: A Novel Vibrotactile Feedback Prototype Combining Passive and Active Haptic in AR Interaction</t>
  </si>
  <si>
    <t>10.1109/ISMAR-Adjunct.2019.00026</t>
  </si>
  <si>
    <t>Microsoft HoloLens; Computer</t>
  </si>
  <si>
    <t>Vuforia; Xbee modules and Arduino</t>
  </si>
  <si>
    <t>Suzuki, R. and Ofek, E. and Sinclair, M. and Leithinger, D. and Gonzalez-Franco, M.</t>
  </si>
  <si>
    <t>HapticBots: Distributed Encountered-type Haptics for VR with Multiple Shape-changing Mobile Robots</t>
  </si>
  <si>
    <t>10.1145/3472749.3474821</t>
  </si>
  <si>
    <t>Encountered-Type Haptic</t>
  </si>
  <si>
    <t>Tracking the robots on the table</t>
  </si>
  <si>
    <t>Takano, T. and Takashima, K. and Fujita, K. and Guang, H. and Ikematsu, K. and Kitamura, Y.</t>
  </si>
  <si>
    <t>A Compact and Low-cost VR Tooth Drill Training System using Mobile HMD and Stylus Smartphone</t>
  </si>
  <si>
    <t>10.1145/3489849.3489933</t>
  </si>
  <si>
    <t>Oculus Quest 2; Smartphone with EMR stylus</t>
  </si>
  <si>
    <t>Teng, S. and Kuo, T. and Wang, C. and Chiang, C. and Huang, D. and Chan, L. and Chen, B.</t>
  </si>
  <si>
    <t>PuPoP: Pop-up Prop on Palm for Virtual Reality</t>
  </si>
  <si>
    <t>10.1145/3242587.3242628</t>
  </si>
  <si>
    <t>Physical Proxy</t>
  </si>
  <si>
    <t>HTC VIVE headset; Leap Motion; Unity 3D</t>
  </si>
  <si>
    <t>Pneumatic interface in the palm of your hand</t>
  </si>
  <si>
    <t>Yang Tian, Chi‐Wing Fu, Shengdong Zhao, Ruihui Li, Xiao Tang, Xiaowei Hu, Pheng‐Ann Heng</t>
  </si>
  <si>
    <t>Enhancing Augmented VR Interaction via Egocentric Scene Analysis</t>
  </si>
  <si>
    <t>10.1145/3351263</t>
  </si>
  <si>
    <t>HTC Vive VR</t>
  </si>
  <si>
    <t>HTC Vive Lighthouse base stations; ArUco marker module; Intel RealSense</t>
  </si>
  <si>
    <t>Tinguy, X. and Pacchierotti, C. and Emily, M. and Chevalier, M. and Guignardat, A. and Guillaudeux, M. and Six, C. and Lecuyer, A. and Marchal, M.</t>
  </si>
  <si>
    <t>How Different Tangible and Virtual Objects Can Be While Still Feeling the Same?</t>
  </si>
  <si>
    <t>10.1109/WHC.2019.8816164</t>
  </si>
  <si>
    <t>Bonita Vicon system with markers</t>
  </si>
  <si>
    <t>Topliss, J. and Lukosch, S. and Coutts, E. and Piumsomboon, T.</t>
  </si>
  <si>
    <t>Manipulating Underfoot Tactile Perceptions of Flooring Materials in Augmented Virtuality</t>
  </si>
  <si>
    <t>10.3390/app132413106</t>
  </si>
  <si>
    <t>Varjo XR-3; Computer; Unity 3D</t>
  </si>
  <si>
    <t>HTC Vive Tracker static spatial mapping</t>
  </si>
  <si>
    <t>Urushizaka, H. and Iriyama, T. and Komuro, T.</t>
  </si>
  <si>
    <t>Design and Implementation of an Augmented Reality Tangible Game Utilizing Everyday Objects as In-Game Items</t>
  </si>
  <si>
    <t>10.1109/ISMAR-Adjunct68609.2025.00175</t>
  </si>
  <si>
    <t>Game Experience Questionnaire (GEQ)</t>
  </si>
  <si>
    <t>Microsoft HoloLens 2; RGB-D Camera: Vzense DCAM710; Computer; Unity 3D</t>
  </si>
  <si>
    <t>YOLOv8; Point cloud via RANSAC</t>
  </si>
  <si>
    <t>Fabio Vangi, Marina Ricci, Mine Dastan, Michele Fiorentino</t>
  </si>
  <si>
    <t>The Mixed Tangible Catalog: Toward Tangible and Sustainable B2B Metaverse Fashion Showrooms</t>
  </si>
  <si>
    <t>10.1109/mcg.2024.3424247</t>
  </si>
  <si>
    <t>Binary marker (AR marker)</t>
  </si>
  <si>
    <t>Vonach, E. and Schindler, C. and Kaufmann, H.</t>
  </si>
  <si>
    <t>StARboard &amp; TrACTOr: Actuated Tangibles in an Educational TAR Application</t>
  </si>
  <si>
    <t>10.3390/mti5020006</t>
  </si>
  <si>
    <t>Questionnaire adapted from Slater-Usoh-Steed (SUS)</t>
  </si>
  <si>
    <t>Microsoft HoloLens; Computer; Unity 3D</t>
  </si>
  <si>
    <t>Microsoft Kinect 2; Fiducial markers; Infrared-equipped robots for identification</t>
  </si>
  <si>
    <t>Yannick Weiß, Julian Rasch, Jonas K. H. Fischer, Florian Müller</t>
  </si>
  <si>
    <t>Investigating the Effects of Haptic Illusions in Collaborative Virtual Reality</t>
  </si>
  <si>
    <t>10.1109/tvcg.2025.3616760</t>
  </si>
  <si>
    <t>Passive Props</t>
  </si>
  <si>
    <t>VIVE Trackers</t>
  </si>
  <si>
    <t>White, M. and Gain, J. and Vimont, U. and Lochner, D.</t>
  </si>
  <si>
    <t>The Case for Haptic Props: Shape, Weight and Vibro-tactile Feedback</t>
  </si>
  <si>
    <t>10.1145/3359566.3360058</t>
  </si>
  <si>
    <t>Wu, E. and Piekenbrock, M. and Nakumura, T. and Koike, H.</t>
  </si>
  <si>
    <t>SPinPong - Virtual Reality Table Tennis Skill Acquisition using Visual, Haptic and Temporal Cues</t>
  </si>
  <si>
    <t>10.1109/TVCG.2021.3067761</t>
  </si>
  <si>
    <t>Haptic Device</t>
  </si>
  <si>
    <t>Nan Xiang, Hai‐Ning Liang, Lingyun Yu, Xiaosong Yang, Jianjun Zhang</t>
  </si>
  <si>
    <t>A mixed reality framework for microsurgery simulation with visual-tactile perception</t>
  </si>
  <si>
    <t>10.1007/s00371-023-02964-1</t>
  </si>
  <si>
    <t>Oculus Rift; Computer; Logitech Webcam</t>
  </si>
  <si>
    <t>Fiducial markers; Cameras; Computer Vision (k-means classification; and Kalman filter)</t>
  </si>
  <si>
    <t>Xin Min, Wenqiao Zhang, Shouqian Sun, Nan Zhao, Siliang Tang, Yueting Zhuang</t>
  </si>
  <si>
    <t>VPModel: High-Fidelity Product Simulation in a Virtual-Physical Environment</t>
  </si>
  <si>
    <t>10.1109/tvcg.2019.2932276</t>
  </si>
  <si>
    <t>Microsoft MR HoloLens; Leap Motion; Unity 3D</t>
  </si>
  <si>
    <t>Vuforia SDK</t>
  </si>
  <si>
    <t>Fang Xu, Hengxu You, Tianyu Zhou, Jing Du</t>
  </si>
  <si>
    <t>Augmented reality robot manipulation with physical mock-up and improved spatial cognition</t>
  </si>
  <si>
    <t>10.1016/j.ijhcs.2025.103658</t>
  </si>
  <si>
    <t>Microsoft HoloLens2; Unity 3D; Robot Operating System</t>
  </si>
  <si>
    <t>Spatial anchor and IMU functionality</t>
  </si>
  <si>
    <t>Yan, Q. and Adiwangsa, M. and Ozdowska, A.</t>
  </si>
  <si>
    <t>Beyond Augmented Reality, Towards Augmented Physicality: Gaming with Tangible Embodied Interactions</t>
  </si>
  <si>
    <t>10.1145/3726986.3727011</t>
  </si>
  <si>
    <t>ArUco markers; OpenCV</t>
  </si>
  <si>
    <t>Yixian, Y. and Takashima, K. and Tang, A. and Tanno, T. and Fujita, K. and Kitamura, Y.</t>
  </si>
  <si>
    <t>ZoomWalls: Dynamic Walls that Simulate Haptic Infrastructure for Room-scale VR World</t>
  </si>
  <si>
    <t>10.1145/3379337.3415859</t>
  </si>
  <si>
    <t>HTC Vive HMD; Unity 3D</t>
  </si>
  <si>
    <t>Zenner, A. and Krüger, A.</t>
  </si>
  <si>
    <t>Shifty: A Weight-Shifting Dynamic Passive Haptic Proxy to Enhance Object Perception in Virtual Reality</t>
  </si>
  <si>
    <t>10.1109/TVCG.2017.2656978</t>
  </si>
  <si>
    <t>OptiTrack (with a 6-camera rig)</t>
  </si>
  <si>
    <t>Drag:on: A Virtual Reality Controller Providing Haptic Feedback Based on Drag and Weight Shift</t>
  </si>
  <si>
    <t>10.1145/3290605.3300441</t>
  </si>
  <si>
    <t>HTC Vive; Unity 3D; Computer; Arduino</t>
  </si>
  <si>
    <t>HTC Vive Tracker; Arduino Synchronization</t>
  </si>
  <si>
    <t>Zenner, A. and Ullmann, K. and Kruger, A.</t>
  </si>
  <si>
    <t>Combining Dynamic Passive Haptics and Haptic Retargeting for Enhanced Haptic Feedback in Virtual Reality</t>
  </si>
  <si>
    <t>10.1109/TVCG.2021.3067777</t>
  </si>
  <si>
    <t>SteamVR base stations 2.0; HTC Vive Tracker</t>
  </si>
  <si>
    <t>Zhang, J. and Johal, W. and Knibbe, J.</t>
  </si>
  <si>
    <t>Illusion Spaces in VR: The Interplay Between Size and Taper Angle Perception in Grasping</t>
  </si>
  <si>
    <t>10.1145/3706598.3714162</t>
  </si>
  <si>
    <t>Meta Quest 3; Unity; 7 Cameras Prime 13W</t>
  </si>
  <si>
    <t>OptiTrack motion capture system, consisting of seven Prime 13W cameras; Markers</t>
  </si>
  <si>
    <t>Zhang, J. and Ma, F. and Pi, Y. and Du, H. and Pan, X.</t>
  </si>
  <si>
    <t>Digital twin embodied interactions design: Synchronized and aligned physical sensation in location-based social VR</t>
  </si>
  <si>
    <t>10.3389/frvir.2025.1499845</t>
  </si>
  <si>
    <t>Oculus Quest 1 and Quest 2, Quest Pro; Unity 3D</t>
  </si>
  <si>
    <t>Static Spatial Matching; Wi-Fi Tracker with IMU</t>
  </si>
  <si>
    <t>Li Zhang, Weiping He, Yupeng Hu, Shuxia Wang, Huidong Bai, Mark Billinghurst</t>
  </si>
  <si>
    <t>Using the Visuo-Haptic Illusion to Perceive and Manipulate Different Virtual Objects in Augmented Reality</t>
  </si>
  <si>
    <t>10.1109/access.2021.3121390</t>
  </si>
  <si>
    <t>Customized questionnaire based on Witmer and Singer</t>
  </si>
  <si>
    <t>HoloLens; Leap Motion</t>
  </si>
  <si>
    <t>Vuforia tracking with markers</t>
  </si>
  <si>
    <t>Zhou, Q. and Sykes, S. and Fels, S. and Kin, K.</t>
  </si>
  <si>
    <t>Gripmarks: Using Hand Grips to Transform In-Hand Objects into Mixed Reality Input</t>
  </si>
  <si>
    <t>10.1145/3313831.3376313</t>
  </si>
  <si>
    <t>Oculus Rift; Unity 3D</t>
  </si>
  <si>
    <t>18 cameras Optitrack; Vive Lighthouses</t>
  </si>
  <si>
    <t>Zhu, K. and Chen, T. and Han, F. and Wu, Y.</t>
  </si>
  <si>
    <t>HapTwist: Creating Interactive Haptic Proxies in Virtual Reality Using Low-cost Twistable Artefacts</t>
  </si>
  <si>
    <t>10.1145/3290605.3300923</t>
  </si>
  <si>
    <t>Haptic Proxies</t>
  </si>
  <si>
    <t>HTC Vive trackers; Microsoft Kinect</t>
  </si>
  <si>
    <t>Summary of Table 3 (computed from the 'Table 3' sheet)</t>
  </si>
  <si>
    <t>Studies included</t>
  </si>
  <si>
    <t>Studies</t>
  </si>
  <si>
    <t>%</t>
  </si>
  <si>
    <t>Presence only</t>
  </si>
  <si>
    <t>Sense of Agency only (direct)</t>
  </si>
  <si>
    <t>Sense of Agency only (indirect)*</t>
  </si>
  <si>
    <t>Both (SoA direct)</t>
  </si>
  <si>
    <t>Both (SoA indirect)*</t>
  </si>
  <si>
    <t>Total</t>
  </si>
  <si>
    <t>Technique mentioned (a study can list several)</t>
  </si>
  <si>
    <t>Redirected Touching</t>
  </si>
  <si>
    <t>Reconfigurable Props</t>
  </si>
  <si>
    <t>* SoA assessed indirectly. 'Passive Haptics' also counts studies labeled 'Active/Passive Haptics'.</t>
  </si>
  <si>
    <t>Technique counts overlap because several studies list more than one technique.</t>
  </si>
  <si>
    <t>Knowledge Areas</t>
  </si>
  <si>
    <t>Tracking/Alignment System</t>
  </si>
  <si>
    <t>Technique used</t>
  </si>
  <si>
    <t>Was presence evaluated?</t>
  </si>
  <si>
    <t>Presence Assessment Tool
(N/A = Not applicable)</t>
  </si>
  <si>
    <t>Was the Sense of Agency assessed? (Yes, No, Indirectly)</t>
  </si>
  <si>
    <t>Sense of Agency Assessment Tool
(N/A = Not applicable)</t>
  </si>
  <si>
    <t>Commercial / Experimental Solution</t>
  </si>
  <si>
    <t>Does it assess implementation costs?</t>
  </si>
  <si>
    <t>Computing/HCI
Arts/Heritage</t>
  </si>
  <si>
    <t>HTC Vive headset.
Notebook, Computador
Unreal Engine 4 e Autodesk 3DS Max</t>
  </si>
  <si>
    <t xml:space="preserve">HTC Vive lighthouses, Vive tracking sensor </t>
  </si>
  <si>
    <t xml:space="preserve"> Presence and Reality judgment questionnaire</t>
  </si>
  <si>
    <t>Tactile Guide, Physical Objects, Everyday Objects</t>
  </si>
  <si>
    <t>Computing/HCI
Health/Medicine</t>
  </si>
  <si>
    <t>Meta Quest 3
Unity</t>
  </si>
  <si>
    <t>Passive Haptics, Object Substitution</t>
  </si>
  <si>
    <t>Haptic props</t>
  </si>
  <si>
    <t>Does not mention</t>
  </si>
  <si>
    <t xml:space="preserve">OptiTrack 13W </t>
  </si>
  <si>
    <t>Passive Haptics, Haptic Retargeting</t>
  </si>
  <si>
    <t>Passive haptic</t>
  </si>
  <si>
    <t>Computing/HCI
Entertainment/Games</t>
  </si>
  <si>
    <t>Oculus Rift DK2
Unity3D</t>
  </si>
  <si>
    <t>Oculus camera,
Microsoft Kinect,
retroreflective markers</t>
  </si>
  <si>
    <t>Hybrid (Passive Haptics, Redirected Touching)</t>
  </si>
  <si>
    <t>Witmer and Singer Presence Questionnaire</t>
  </si>
  <si>
    <t>Computing/HCI
Engineering</t>
  </si>
  <si>
    <t>HTC VIVE
Robô: UR10</t>
  </si>
  <si>
    <t>HTC VIVE (with infrared/IR cameras and Lighthouse tracking)
Synchronization/positioning with UR10 industrial robot</t>
  </si>
  <si>
    <t>Computing/HCI,
Education/Sciences</t>
  </si>
  <si>
    <t>AR - Unity Platform, HMD Microsoft Hololens
VR - Unreal Engine 4 Platform, HMD HTC Vive Pro</t>
  </si>
  <si>
    <t>Estações base (lighthouses) e quatro rastreadores (pucks) do HTC Vive,
Raspberry Pi, sensores</t>
  </si>
  <si>
    <t>Meta Quest 3,
Unity3D</t>
  </si>
  <si>
    <t>Manual synchronization,
ESP32 microcontroller</t>
  </si>
  <si>
    <t xml:space="preserve">Meta Quest 2
Unity3D
</t>
  </si>
  <si>
    <t>HTC Vive
Computer
Unity 3D</t>
  </si>
  <si>
    <t>HTC-Vive Pro Eye
Unity 3D
Desktop</t>
  </si>
  <si>
    <t>Physical objects</t>
  </si>
  <si>
    <t>HTC Vive with attached camera
Unity 3D</t>
  </si>
  <si>
    <t>Oculus Rift CV1
Unity</t>
  </si>
  <si>
    <t>Computing/HCI
Education/Sciences</t>
  </si>
  <si>
    <t>HTC Vive Pro (HMD) e HTC Vive Wireless Adapter Kit</t>
  </si>
  <si>
    <t>Passive haptic
Physical Props</t>
  </si>
  <si>
    <t>HTC Vive
Meta Quest 2</t>
  </si>
  <si>
    <t>Valve Lighthouse tracking system
HTC Vive Tracker</t>
  </si>
  <si>
    <t>Hybrid (Passive Haptics
Object Substitution)</t>
  </si>
  <si>
    <t>Engineering
Computing/HCI
Education/Sciences</t>
  </si>
  <si>
    <t>HTC VIVE HMD
HTC VIVE PRO HMD
Unity 3D</t>
  </si>
  <si>
    <t>Meta Quest Pro
Unity 3D</t>
  </si>
  <si>
    <t>manipulated object</t>
  </si>
  <si>
    <t>Proprietary AR headset
Unity 3D</t>
  </si>
  <si>
    <t>Microsoft HoloLens 2
Unity 3D</t>
  </si>
  <si>
    <t>Zotac VR go backpack PC
HTC Vive
Unity 3D</t>
  </si>
  <si>
    <t>Passive Haptics
Reconfigurable Props</t>
  </si>
  <si>
    <t>Samsung S6
GearVR</t>
  </si>
  <si>
    <t>Vuforia Engine
ROS bridge</t>
  </si>
  <si>
    <t>HTC Vive
Unity 3D
Leap Motion</t>
  </si>
  <si>
    <t>Vive Tracker
Reflective Markers</t>
  </si>
  <si>
    <t>Passive Haptics
Object Substitution</t>
  </si>
  <si>
    <t>HTC Vive
Unity 3D
Desktop</t>
  </si>
  <si>
    <t>HTC Vive
Unity 3D</t>
  </si>
  <si>
    <t>Vive trackers
Sensor Kinect</t>
  </si>
  <si>
    <t>Haptic feedback</t>
  </si>
  <si>
    <t>Computing/HCI
Health/Medicine
Engineering</t>
  </si>
  <si>
    <t>HMD
Unity 3D</t>
  </si>
  <si>
    <t>Meta Quest 3
Unity 3D</t>
  </si>
  <si>
    <t>Passive haptics</t>
  </si>
  <si>
    <t>Oculus Rift DK2
Leap Motion</t>
  </si>
  <si>
    <t>Redirected Touching
Haptic Retargeting</t>
  </si>
  <si>
    <t xml:space="preserve"> HTC VIVE
Vive tracker
Leap Motion
Unity 3D</t>
  </si>
  <si>
    <t>HTC VIVE (Vive Tracker)
Arduíno Nano</t>
  </si>
  <si>
    <t>HTC VIVE
Leap Motion</t>
  </si>
  <si>
    <t>HTC VIVE tracker
Arduino</t>
  </si>
  <si>
    <t>HTC VIVE Pro Eye
Unity 3D</t>
  </si>
  <si>
    <t>Passive Haptics
Object Substitution
Reconfigurable Props</t>
  </si>
  <si>
    <t>Microsoft HoloLens
HTC Vive Pro
Unity 3D</t>
  </si>
  <si>
    <t>SteamVR
HTC Vive Puck</t>
  </si>
  <si>
    <t>SteamVR/Lighthouse
IMU</t>
  </si>
  <si>
    <t>Passive Haptics
Object Substitutition</t>
  </si>
  <si>
    <t xml:space="preserve"> Oculus Rift VR headset
Unity 3D</t>
  </si>
  <si>
    <t>Rift CV1 
Unity 3D</t>
  </si>
  <si>
    <t>Active/Passive Haptics, Roconfigurable Props, Haptic Retargeting</t>
  </si>
  <si>
    <t xml:space="preserve"> Microsoft HoloLens 2
Unity 3D</t>
  </si>
  <si>
    <t>OptiTrack with 16 Prime 22 cameras
Reflective markers</t>
  </si>
  <si>
    <t>HTC VIVE
Logitech C920 PRO HD Webcam</t>
  </si>
  <si>
    <t>Hybrid-haptic feedback</t>
  </si>
  <si>
    <t>Computing/HCI
Education/Science
Entertainment/Games</t>
  </si>
  <si>
    <t>HTC VIVE Pro
Unity 3D
Computer</t>
  </si>
  <si>
    <t>VIVE Tracker
Static Spatial Correspondence</t>
  </si>
  <si>
    <t xml:space="preserve"> HTC Vive
Unity 3D</t>
  </si>
  <si>
    <t>Oculus DK2
Unity 3D</t>
  </si>
  <si>
    <t>Active/passive haptic, Object Substitution</t>
  </si>
  <si>
    <t>HTC Vive Pro Eye
Computer
Unity 3D</t>
  </si>
  <si>
    <t>HTC Vive Tracker
Lighthouse base stations</t>
  </si>
  <si>
    <t>Slater-Usoh-Steed (SUS) Presence questionnaire</t>
  </si>
  <si>
    <t>Meta 1
Kinect
Computer</t>
  </si>
  <si>
    <t>HTC Vive Pro
Unity 3D</t>
  </si>
  <si>
    <t>Lighthouse
IMU
Fiducial markers
Camera</t>
  </si>
  <si>
    <t>Haptic proxy</t>
  </si>
  <si>
    <t>Oculus Rift
Unity 3D
Computer
Leap Motion</t>
  </si>
  <si>
    <t>OptiTrack Motive with 12 Flex 3 cameras
Drones</t>
  </si>
  <si>
    <t>Presence Questionnaire (PQ) by Witmer &amp; Singer</t>
  </si>
  <si>
    <t>Computing/HCI
Entertainment/Games
Engineering</t>
  </si>
  <si>
    <t>Valve Index
Computer
Unity 3D</t>
  </si>
  <si>
    <t>HTC VIVE base stations
Vive Tracker
Robots</t>
  </si>
  <si>
    <t>Active/passive haptic</t>
  </si>
  <si>
    <t>Oculus Quest 2
Smartphones
Unity 3D</t>
  </si>
  <si>
    <t>Visual markers
Smartphones</t>
  </si>
  <si>
    <t>Oculus Quest 2
Unity 3D</t>
  </si>
  <si>
    <t>Game Experience Questionnaire (GEQ) – Immersion component and
Immersion Experience Questionnaire (IEQ)</t>
  </si>
  <si>
    <t>Health/Medicine
Computing/HCI
Engineering</t>
  </si>
  <si>
    <t>Active/Passive Haptic</t>
  </si>
  <si>
    <t>Passive Haptic
Object Substitution</t>
  </si>
  <si>
    <t>VIVE Pro
Computer
Unity 3D</t>
  </si>
  <si>
    <t>VIVE Tracker
Gyroscope sensor (MPU-9265)
Arduino</t>
  </si>
  <si>
    <t>Haptic object</t>
  </si>
  <si>
    <t>Tangible interface</t>
  </si>
  <si>
    <t>Google Cardboard
Smartphon
Unity 3D</t>
  </si>
  <si>
    <t>Unity ARFoundation
MobileNetSDD</t>
  </si>
  <si>
    <t>HTC VIVE Pro
Unity 3D
Computador</t>
  </si>
  <si>
    <t>Vive Trackers
Lighthouse do Vive</t>
  </si>
  <si>
    <t>Passive Haptics, Haptic Retargenting</t>
  </si>
  <si>
    <t>VIVE Pro HMD
Unity3D</t>
  </si>
  <si>
    <t>Passive haptics, encounter-type haptic</t>
  </si>
  <si>
    <t>HTC Vive Pro Eye
Unity3D
Computer</t>
  </si>
  <si>
    <t>HTC VIVE Base Stations
Vive Tracker</t>
  </si>
  <si>
    <t>Oculus Rift CV1
Unity 3D</t>
  </si>
  <si>
    <t>Oculus Quest
Unity 3D</t>
  </si>
  <si>
    <t>HTC Vive
SteamVR
Unity 3D</t>
  </si>
  <si>
    <t>Does not mention the HMD
Unity 3D</t>
  </si>
  <si>
    <t>Oculus Quest
Oculus Rift</t>
  </si>
  <si>
    <t>Passive Haptics, Object Substitution, Reconfigurable Props</t>
  </si>
  <si>
    <t>HTC  VIVE Pro
Unity 3D</t>
  </si>
  <si>
    <t>HTC VIVE Pro 2
Computer
Unity 3D</t>
  </si>
  <si>
    <t>Virtual Embodiment Questionnaire adapted from the questionnaires by Longo et al. (2008) and Kalkert et al. (2012)</t>
  </si>
  <si>
    <t>Passive/Active Haptic</t>
  </si>
  <si>
    <t>Valve Index
Unity 3D</t>
  </si>
  <si>
    <t>SteamVR tracking system
Open CV</t>
  </si>
  <si>
    <t>HTC VIVE Pro2
Unity 3D</t>
  </si>
  <si>
    <t>Education/Sciences
Engineering</t>
  </si>
  <si>
    <t>HTC Vive Pro
Computador</t>
  </si>
  <si>
    <t>Oculus Rift DK2
Unity 3D</t>
  </si>
  <si>
    <t>Efeito háptico</t>
  </si>
  <si>
    <t>Does not specify HMD and engine</t>
  </si>
  <si>
    <t>Oculus Rift
HTC Vive</t>
  </si>
  <si>
    <t>Passive Haptic, Object Substitution</t>
  </si>
  <si>
    <t>Vive Lighthouses
HTC Vive Trackers</t>
  </si>
  <si>
    <t>HTC Vive Pro
Computer
Unity 3D</t>
  </si>
  <si>
    <t>Vive trackers
Vive Lighthouses</t>
  </si>
  <si>
    <t>Passive haptics, redirected Touching</t>
  </si>
  <si>
    <t>Passive Haptics
Haptic Retargeting</t>
  </si>
  <si>
    <t>Microsoft HoloLens
Computer</t>
  </si>
  <si>
    <t>Vuforia
Módulos Xbee e Arduino</t>
  </si>
  <si>
    <t>Active/passive haptics</t>
  </si>
  <si>
    <t>Encountered-type haptic</t>
  </si>
  <si>
    <t>Active Haptics, Object Substitution</t>
  </si>
  <si>
    <t>Oculus Quest 2
Smartphone with EMR stylus</t>
  </si>
  <si>
    <t>HTC VIVE headset
Leap Motion
Unity 3D</t>
  </si>
  <si>
    <t>HTC Vive Lighthouse base stations
ArUco marker module
Intel RealSense</t>
  </si>
  <si>
    <t>Varjo XR-3
Computer
Unity 3D</t>
  </si>
  <si>
    <t>Microsoft HoloLens 2
RGB-D Camera: Vzense DCAM710
Computer
Unity3D</t>
  </si>
  <si>
    <t xml:space="preserve"> YOLOv8
Point cloud via RANSAC</t>
  </si>
  <si>
    <t xml:space="preserve">Game Experience Questionnaire (GEQ) </t>
  </si>
  <si>
    <t>Microsoft HoloLens
Computer
Unity 3D</t>
  </si>
  <si>
    <t>Microsoft Kinect 2
Fiducial markers
Infrared-equipped robots for identification</t>
  </si>
  <si>
    <t>questionnaire adapted from Slater-Usoh-Steed (SUS)</t>
  </si>
  <si>
    <t>passive props</t>
  </si>
  <si>
    <t>haptic device</t>
  </si>
  <si>
    <t>Oculus Rift
Computer
Logitech  Webcam</t>
  </si>
  <si>
    <t>Fiducial markers
Cameras
Computer Vision (k-means classification
and Kalman filter)</t>
  </si>
  <si>
    <t>Microsoft MR HoloLens
Leap Motion
Unity 3D</t>
  </si>
  <si>
    <t>Microsoft HoloLens2
Unity 3D
Robot Operating System</t>
  </si>
  <si>
    <t>ArUco markers
OpenCV</t>
  </si>
  <si>
    <t>HTC Vive HMD
Unity 3D</t>
  </si>
  <si>
    <t xml:space="preserve"> Drag:on: A Virtual Reality Controller Providing Haptic Feedback Based on Drag and Weight Shift</t>
  </si>
  <si>
    <t>HTC Vive
Unity 3D
Computer
Arduino</t>
  </si>
  <si>
    <t>HTC Vive Tracker
Arduino Synchronization</t>
  </si>
  <si>
    <t>Slater-Usoh-Steed Presence Questionnaire (SUS PQ)</t>
  </si>
  <si>
    <t>SteamVR base stations 2.0
HTC Vive Tracker</t>
  </si>
  <si>
    <t>passive haptice, haptic retargeting</t>
  </si>
  <si>
    <t>Proxy objects</t>
  </si>
  <si>
    <t>Meta Quest 3
Unity
7 Cameras Prime 13W</t>
  </si>
  <si>
    <t>OptiTrack motion capture system, consisting of seven Prime 13W cameras
Markers</t>
  </si>
  <si>
    <t>Oculus Quest 1 e Quest 2, Quest Pro
Unity 3D</t>
  </si>
  <si>
    <t>Static Spatial Matching
Wi-Fi Tracker with IMU</t>
  </si>
  <si>
    <t>HoloLens
Leap Motion</t>
  </si>
  <si>
    <t>Passive haptics, haptic retargeting, object substitution</t>
  </si>
  <si>
    <t>Oculus Rift
Unity 3D</t>
  </si>
  <si>
    <t>18 cameras Optitrack 
Vive Lighthouses</t>
  </si>
  <si>
    <t>HTC Vive trackers
Microsoft Kinect</t>
  </si>
  <si>
    <t>Passive haptics, reconfigurable props</t>
  </si>
  <si>
    <t>Presence Questionnaire de Witmer e Singer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</si>
</sst>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0"/>
      <color rgb="FF1F1F1F"/>
      <name val="Calibri"/>
      <family val="2"/>
    </font>
    <font>
      <sz val="10"/>
      <name val="Calibri"/>
      <family val="2"/>
    </font>
    <font>
      <u/>
      <sz val="10"/>
      <color rgb="FF0563C1"/>
      <name val="Calibri"/>
      <family val="2"/>
    </font>
    <font>
      <b/>
      <sz val="10"/>
      <name val="Calibri"/>
      <family val="2"/>
    </font>
    <font>
      <b/>
      <sz val="14"/>
      <name val="Calibri"/>
      <family val="2"/>
    </font>
    <font>
      <i/>
      <sz val="9"/>
      <color rgb="FF595959"/>
      <name val="Calibri"/>
      <family val="2"/>
    </font>
    <font>
      <b/>
      <sz val="1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44546A"/>
      </patternFill>
    </fill>
    <fill>
      <patternFill patternType="solid">
        <fgColor rgb="FF2E75B6"/>
      </patternFill>
    </fill>
    <fill>
      <patternFill patternType="solid">
        <fgColor rgb="FF548235"/>
      </patternFill>
    </fill>
    <fill>
      <patternFill patternType="solid">
        <fgColor rgb="FF7F6000"/>
      </patternFill>
    </fill>
    <fill>
      <patternFill patternType="solid">
        <fgColor rgb="FFD6DCE4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center" vertical="top" wrapText="1"/>
    </xf>
    <xf numFmtId="0" fontId="6" fillId="0" borderId="0" xfId="0" applyFont="1"/>
    <xf numFmtId="0" fontId="5" fillId="0" borderId="0" xfId="0" applyFont="1"/>
    <xf numFmtId="0" fontId="5" fillId="0" borderId="0" xfId="0" applyFont="1" applyAlignment="1">
      <alignment horizontal="center"/>
    </xf>
    <xf numFmtId="0" fontId="5" fillId="6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center" vertical="center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7" fillId="0" borderId="0" xfId="0" applyFont="1"/>
    <xf numFmtId="0" fontId="8" fillId="0" borderId="0" xfId="0" applyFont="1" applyAlignment="1">
      <alignment vertical="center" wrapText="1"/>
    </xf>
    <xf numFmtId="0" fontId="0" fillId="0" borderId="0" xfId="0" applyAlignment="1">
      <alignment vertical="top" wrapText="1"/>
    </xf>
    <xf numFmtId="0" fontId="1" fillId="4" borderId="0" xfId="0" applyFont="1" applyFill="1" applyAlignment="1">
      <alignment horizontal="center" vertical="center"/>
    </xf>
    <xf numFmtId="0" fontId="0" fillId="4" borderId="0" xfId="0" applyFill="1"/>
    <xf numFmtId="0" fontId="1" fillId="2" borderId="0" xfId="0" applyFont="1" applyFill="1" applyAlignment="1">
      <alignment horizontal="center" vertical="center"/>
    </xf>
    <xf numFmtId="0" fontId="0" fillId="2" borderId="0" xfId="0" applyFill="1"/>
    <xf numFmtId="0" fontId="1" fillId="5" borderId="0" xfId="0" applyFont="1" applyFill="1" applyAlignment="1">
      <alignment horizontal="center" vertical="center"/>
    </xf>
    <xf numFmtId="0" fontId="0" fillId="5" borderId="0" xfId="0" applyFill="1"/>
    <xf numFmtId="0" fontId="1" fillId="3" borderId="0" xfId="0" applyFont="1" applyFill="1" applyAlignment="1">
      <alignment horizontal="center" vertical="center"/>
    </xf>
    <xf numFmtId="0" fontId="0" fillId="3" borderId="0" xfId="0" applyFill="1"/>
  </cellXfs>
  <cellStyles count="1">
    <cellStyle name="Normal" xfId="0" builtinId="0"/>
  </cellStyles>
  <dxfs count="9">
    <dxf>
      <font>
        <color rgb="FFA6A6A6"/>
      </font>
    </dxf>
    <dxf>
      <font>
        <color rgb="FFA6A6A6"/>
      </font>
    </dxf>
    <dxf>
      <font>
        <color rgb="FFA6A6A6"/>
      </font>
    </dxf>
    <dxf>
      <font>
        <color rgb="FFA6A6A6"/>
      </font>
    </dxf>
    <dxf>
      <font>
        <b/>
        <color rgb="FF595959"/>
      </font>
      <fill>
        <patternFill patternType="solid">
          <fgColor rgb="FFE7E6E6"/>
          <bgColor rgb="FFE7E6E6"/>
        </patternFill>
      </fill>
    </dxf>
    <dxf>
      <font>
        <b/>
        <color rgb="FF1F3A5F"/>
      </font>
      <fill>
        <patternFill patternType="solid">
          <fgColor rgb="FFBDD7EE"/>
          <bgColor rgb="FFBDD7EE"/>
        </patternFill>
      </fill>
    </dxf>
    <dxf>
      <font>
        <b/>
        <color rgb="FF3C2A63"/>
      </font>
      <fill>
        <patternFill patternType="solid">
          <fgColor rgb="FFD9C8EC"/>
          <bgColor rgb="FFD9C8EC"/>
        </patternFill>
      </fill>
    </dxf>
    <dxf>
      <font>
        <b/>
        <color rgb="FF1E4620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6F6F6"/>
          <bgColor rgb="FFF6F6F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doi.org/10.1007/s10055-023-00816-w" TargetMode="External"/><Relationship Id="rId117" Type="http://schemas.openxmlformats.org/officeDocument/2006/relationships/hyperlink" Target="https://doi.org/10.1145/3290605.3300923" TargetMode="External"/><Relationship Id="rId21" Type="http://schemas.openxmlformats.org/officeDocument/2006/relationships/hyperlink" Target="https://doi.org/10.1109/tvcg.2025.3549555" TargetMode="External"/><Relationship Id="rId42" Type="http://schemas.openxmlformats.org/officeDocument/2006/relationships/hyperlink" Target="https://doi.org/10.9781/ijimai.2021.01.001" TargetMode="External"/><Relationship Id="rId47" Type="http://schemas.openxmlformats.org/officeDocument/2006/relationships/hyperlink" Target="https://doi.org/10.1109/SVR51698.2020.00033" TargetMode="External"/><Relationship Id="rId63" Type="http://schemas.openxmlformats.org/officeDocument/2006/relationships/hyperlink" Target="https://doi.org/10.1145/3116595.3116615" TargetMode="External"/><Relationship Id="rId68" Type="http://schemas.openxmlformats.org/officeDocument/2006/relationships/hyperlink" Target="https://doi.org/10.1109/WEVR.2019.8809587" TargetMode="External"/><Relationship Id="rId84" Type="http://schemas.openxmlformats.org/officeDocument/2006/relationships/hyperlink" Target="https://doi.org/10.1109/ISMAR.2016.25" TargetMode="External"/><Relationship Id="rId89" Type="http://schemas.openxmlformats.org/officeDocument/2006/relationships/hyperlink" Target="https://doi.org/10.1109/TVCG.2017.2762691" TargetMode="External"/><Relationship Id="rId112" Type="http://schemas.openxmlformats.org/officeDocument/2006/relationships/hyperlink" Target="https://doi.org/10.1109/TVCG.2021.3067777" TargetMode="External"/><Relationship Id="rId16" Type="http://schemas.openxmlformats.org/officeDocument/2006/relationships/hyperlink" Target="https://doi.org/10.1007/s10055-022-00704-9" TargetMode="External"/><Relationship Id="rId107" Type="http://schemas.openxmlformats.org/officeDocument/2006/relationships/hyperlink" Target="https://doi.org/10.1016/j.ijhcs.2025.103658" TargetMode="External"/><Relationship Id="rId11" Type="http://schemas.openxmlformats.org/officeDocument/2006/relationships/hyperlink" Target="https://doi.org/10.1109/VR50410.2021.00105" TargetMode="External"/><Relationship Id="rId32" Type="http://schemas.openxmlformats.org/officeDocument/2006/relationships/hyperlink" Target="https://doi.org/10.1145/3419249.3420101" TargetMode="External"/><Relationship Id="rId37" Type="http://schemas.openxmlformats.org/officeDocument/2006/relationships/hyperlink" Target="https://doi.org/10.1145/3411764.3445456" TargetMode="External"/><Relationship Id="rId53" Type="http://schemas.openxmlformats.org/officeDocument/2006/relationships/hyperlink" Target="https://doi.org/10.1109/TVCG.2024.3372105" TargetMode="External"/><Relationship Id="rId58" Type="http://schemas.openxmlformats.org/officeDocument/2006/relationships/hyperlink" Target="https://doi.org/10.1109/VR51125.2022.00030" TargetMode="External"/><Relationship Id="rId74" Type="http://schemas.openxmlformats.org/officeDocument/2006/relationships/hyperlink" Target="https://doi.org/10.3390/rs13112186" TargetMode="External"/><Relationship Id="rId79" Type="http://schemas.openxmlformats.org/officeDocument/2006/relationships/hyperlink" Target="https://doi.org/10.1145/3332165.3347870" TargetMode="External"/><Relationship Id="rId102" Type="http://schemas.openxmlformats.org/officeDocument/2006/relationships/hyperlink" Target="https://doi.org/10.1109/tvcg.2025.3616760" TargetMode="External"/><Relationship Id="rId5" Type="http://schemas.openxmlformats.org/officeDocument/2006/relationships/hyperlink" Target="https://doi.org/10.1145/2858036.2858226" TargetMode="External"/><Relationship Id="rId90" Type="http://schemas.openxmlformats.org/officeDocument/2006/relationships/hyperlink" Target="https://doi.org/10.1145/3313831.3376303" TargetMode="External"/><Relationship Id="rId95" Type="http://schemas.openxmlformats.org/officeDocument/2006/relationships/hyperlink" Target="https://doi.org/10.1145/3242587.3242628" TargetMode="External"/><Relationship Id="rId22" Type="http://schemas.openxmlformats.org/officeDocument/2006/relationships/hyperlink" Target="https://doi.org/10.1109/tim.2025.3571175" TargetMode="External"/><Relationship Id="rId27" Type="http://schemas.openxmlformats.org/officeDocument/2006/relationships/hyperlink" Target="https://doi.org/10.1371/journal.pone.0294914" TargetMode="External"/><Relationship Id="rId43" Type="http://schemas.openxmlformats.org/officeDocument/2006/relationships/hyperlink" Target="https://doi.org/10.1145/3485279.3485293" TargetMode="External"/><Relationship Id="rId48" Type="http://schemas.openxmlformats.org/officeDocument/2006/relationships/hyperlink" Target="https://doi.org/10.1145/3064663.3064680" TargetMode="External"/><Relationship Id="rId64" Type="http://schemas.openxmlformats.org/officeDocument/2006/relationships/hyperlink" Target="https://doi.org/10.1109/tsmc.2017.2719037" TargetMode="External"/><Relationship Id="rId69" Type="http://schemas.openxmlformats.org/officeDocument/2006/relationships/hyperlink" Target="https://doi.org/10.1145/3332165.3347919" TargetMode="External"/><Relationship Id="rId113" Type="http://schemas.openxmlformats.org/officeDocument/2006/relationships/hyperlink" Target="https://doi.org/10.1145/3706598.3714162" TargetMode="External"/><Relationship Id="rId80" Type="http://schemas.openxmlformats.org/officeDocument/2006/relationships/hyperlink" Target="https://doi.org/10.1109/tvcg.2025.3580546" TargetMode="External"/><Relationship Id="rId85" Type="http://schemas.openxmlformats.org/officeDocument/2006/relationships/hyperlink" Target="https://doi.org/10.5753/webmedia.2025.15815" TargetMode="External"/><Relationship Id="rId12" Type="http://schemas.openxmlformats.org/officeDocument/2006/relationships/hyperlink" Target="https://doi.org/10.1109/VR51125.2022.00103" TargetMode="External"/><Relationship Id="rId17" Type="http://schemas.openxmlformats.org/officeDocument/2006/relationships/hyperlink" Target="https://doi.org/10.1145/3648003" TargetMode="External"/><Relationship Id="rId33" Type="http://schemas.openxmlformats.org/officeDocument/2006/relationships/hyperlink" Target="https://doi.org/10.1016/j.vrih.2023.10.007" TargetMode="External"/><Relationship Id="rId38" Type="http://schemas.openxmlformats.org/officeDocument/2006/relationships/hyperlink" Target="https://doi.org/10.1145/3491102.3517671" TargetMode="External"/><Relationship Id="rId59" Type="http://schemas.openxmlformats.org/officeDocument/2006/relationships/hyperlink" Target="https://doi.org/10.1109/mcg.2023.3303028" TargetMode="External"/><Relationship Id="rId103" Type="http://schemas.openxmlformats.org/officeDocument/2006/relationships/hyperlink" Target="https://doi.org/10.1145/3359566.3360058" TargetMode="External"/><Relationship Id="rId108" Type="http://schemas.openxmlformats.org/officeDocument/2006/relationships/hyperlink" Target="https://doi.org/10.1145/3726986.3727011" TargetMode="External"/><Relationship Id="rId54" Type="http://schemas.openxmlformats.org/officeDocument/2006/relationships/hyperlink" Target="https://doi.org/10.1109/ISMAR55827.2022.00070" TargetMode="External"/><Relationship Id="rId70" Type="http://schemas.openxmlformats.org/officeDocument/2006/relationships/hyperlink" Target="https://doi.org/10.1109/WHC49131.2021.9517250" TargetMode="External"/><Relationship Id="rId75" Type="http://schemas.openxmlformats.org/officeDocument/2006/relationships/hyperlink" Target="https://doi.org/10.1007/s10055-021-00560-z" TargetMode="External"/><Relationship Id="rId91" Type="http://schemas.openxmlformats.org/officeDocument/2006/relationships/hyperlink" Target="https://doi.org/10.1109/TVCG.2024.3523042" TargetMode="External"/><Relationship Id="rId96" Type="http://schemas.openxmlformats.org/officeDocument/2006/relationships/hyperlink" Target="https://doi.org/10.1145/3351263" TargetMode="External"/><Relationship Id="rId1" Type="http://schemas.openxmlformats.org/officeDocument/2006/relationships/hyperlink" Target="https://doi.org/10.5057/isase.2024-c000037" TargetMode="External"/><Relationship Id="rId6" Type="http://schemas.openxmlformats.org/officeDocument/2006/relationships/hyperlink" Target="https://doi.org/10.1007/s12555-018-0882-3" TargetMode="External"/><Relationship Id="rId23" Type="http://schemas.openxmlformats.org/officeDocument/2006/relationships/hyperlink" Target="https://doi.org/10.1016/j.trc.2024.104546" TargetMode="External"/><Relationship Id="rId28" Type="http://schemas.openxmlformats.org/officeDocument/2006/relationships/hyperlink" Target="https://doi.org/10.1109/VR.2019.8798205" TargetMode="External"/><Relationship Id="rId49" Type="http://schemas.openxmlformats.org/officeDocument/2006/relationships/hyperlink" Target="https://doi.org/10.3758/s13414-025-03091-w" TargetMode="External"/><Relationship Id="rId114" Type="http://schemas.openxmlformats.org/officeDocument/2006/relationships/hyperlink" Target="https://doi.org/10.3389/frvir.2025.1499845" TargetMode="External"/><Relationship Id="rId10" Type="http://schemas.openxmlformats.org/officeDocument/2006/relationships/hyperlink" Target="https://doi.org/10.1109/TVCG.2023.3247083" TargetMode="External"/><Relationship Id="rId31" Type="http://schemas.openxmlformats.org/officeDocument/2006/relationships/hyperlink" Target="https://doi.org/10.1109/VS-Games.2018.8493444" TargetMode="External"/><Relationship Id="rId44" Type="http://schemas.openxmlformats.org/officeDocument/2006/relationships/hyperlink" Target="https://doi.org/10.1145/3611052" TargetMode="External"/><Relationship Id="rId52" Type="http://schemas.openxmlformats.org/officeDocument/2006/relationships/hyperlink" Target="https://doi.org/10.1145/3282894.3282898" TargetMode="External"/><Relationship Id="rId60" Type="http://schemas.openxmlformats.org/officeDocument/2006/relationships/hyperlink" Target="https://doi.org/10.1109/tvcg.2022.3207241" TargetMode="External"/><Relationship Id="rId65" Type="http://schemas.openxmlformats.org/officeDocument/2006/relationships/hyperlink" Target="https://doi.org/10.1016/j.cag.2025.104454" TargetMode="External"/><Relationship Id="rId73" Type="http://schemas.openxmlformats.org/officeDocument/2006/relationships/hyperlink" Target="https://doi.org/10.1007/s10055-023-00915-8" TargetMode="External"/><Relationship Id="rId78" Type="http://schemas.openxmlformats.org/officeDocument/2006/relationships/hyperlink" Target="https://doi.org/10.1186/s12984-024-01482-y" TargetMode="External"/><Relationship Id="rId81" Type="http://schemas.openxmlformats.org/officeDocument/2006/relationships/hyperlink" Target="https://doi.org/10.1145/3488162.3488166" TargetMode="External"/><Relationship Id="rId86" Type="http://schemas.openxmlformats.org/officeDocument/2006/relationships/hyperlink" Target="https://doi.org/10.5753/svr_estendido.2025.15737" TargetMode="External"/><Relationship Id="rId94" Type="http://schemas.openxmlformats.org/officeDocument/2006/relationships/hyperlink" Target="https://doi.org/10.1145/3489849.3489933" TargetMode="External"/><Relationship Id="rId99" Type="http://schemas.openxmlformats.org/officeDocument/2006/relationships/hyperlink" Target="https://doi.org/10.1109/ISMAR-Adjunct68609.2025.00175" TargetMode="External"/><Relationship Id="rId101" Type="http://schemas.openxmlformats.org/officeDocument/2006/relationships/hyperlink" Target="https://doi.org/10.3390/mti5020006" TargetMode="External"/><Relationship Id="rId4" Type="http://schemas.openxmlformats.org/officeDocument/2006/relationships/hyperlink" Target="https://doi.org/10.1145/3473856.3474000" TargetMode="External"/><Relationship Id="rId9" Type="http://schemas.openxmlformats.org/officeDocument/2006/relationships/hyperlink" Target="https://doi.org/10.1145/3765712.3765724" TargetMode="External"/><Relationship Id="rId13" Type="http://schemas.openxmlformats.org/officeDocument/2006/relationships/hyperlink" Target="https://doi.org/10.1007/s00221-023-06639-0" TargetMode="External"/><Relationship Id="rId18" Type="http://schemas.openxmlformats.org/officeDocument/2006/relationships/hyperlink" Target="https://doi.org/10.3390/app11041367" TargetMode="External"/><Relationship Id="rId39" Type="http://schemas.openxmlformats.org/officeDocument/2006/relationships/hyperlink" Target="https://doi.org/10.1145/3586183.3606722" TargetMode="External"/><Relationship Id="rId109" Type="http://schemas.openxmlformats.org/officeDocument/2006/relationships/hyperlink" Target="https://doi.org/10.1145/3379337.3415859" TargetMode="External"/><Relationship Id="rId34" Type="http://schemas.openxmlformats.org/officeDocument/2006/relationships/hyperlink" Target="https://doi.org/10.1145/3757980.3757995" TargetMode="External"/><Relationship Id="rId50" Type="http://schemas.openxmlformats.org/officeDocument/2006/relationships/hyperlink" Target="https://doi.org/10.1145/2858036.2858134" TargetMode="External"/><Relationship Id="rId55" Type="http://schemas.openxmlformats.org/officeDocument/2006/relationships/hyperlink" Target="https://doi.org/10.1145/3593429" TargetMode="External"/><Relationship Id="rId76" Type="http://schemas.openxmlformats.org/officeDocument/2006/relationships/hyperlink" Target="https://doi.org/10.1145/3450741.3465387" TargetMode="External"/><Relationship Id="rId97" Type="http://schemas.openxmlformats.org/officeDocument/2006/relationships/hyperlink" Target="https://doi.org/10.1109/WHC.2019.8816164" TargetMode="External"/><Relationship Id="rId104" Type="http://schemas.openxmlformats.org/officeDocument/2006/relationships/hyperlink" Target="https://doi.org/10.1109/TVCG.2021.3067761" TargetMode="External"/><Relationship Id="rId7" Type="http://schemas.openxmlformats.org/officeDocument/2006/relationships/hyperlink" Target="https://doi.org/10.3390/s21206794" TargetMode="External"/><Relationship Id="rId71" Type="http://schemas.openxmlformats.org/officeDocument/2006/relationships/hyperlink" Target="https://doi.org/10.1109/access.2024.3391186" TargetMode="External"/><Relationship Id="rId92" Type="http://schemas.openxmlformats.org/officeDocument/2006/relationships/hyperlink" Target="https://doi.org/10.1109/ISMAR-Adjunct.2019.00026" TargetMode="External"/><Relationship Id="rId2" Type="http://schemas.openxmlformats.org/officeDocument/2006/relationships/hyperlink" Target="https://doi.org/10.25046/aj060325" TargetMode="External"/><Relationship Id="rId29" Type="http://schemas.openxmlformats.org/officeDocument/2006/relationships/hyperlink" Target="https://doi.org/10.1145/3290605.3300479" TargetMode="External"/><Relationship Id="rId24" Type="http://schemas.openxmlformats.org/officeDocument/2006/relationships/hyperlink" Target="https://doi.org/10.1145/3173574.3173663" TargetMode="External"/><Relationship Id="rId40" Type="http://schemas.openxmlformats.org/officeDocument/2006/relationships/hyperlink" Target="https://doi.org/10.1145/3613450" TargetMode="External"/><Relationship Id="rId45" Type="http://schemas.openxmlformats.org/officeDocument/2006/relationships/hyperlink" Target="https://doi.org/10.1002/jsid.1259" TargetMode="External"/><Relationship Id="rId66" Type="http://schemas.openxmlformats.org/officeDocument/2006/relationships/hyperlink" Target="https://doi.org/10.1145/3779232.3779274" TargetMode="External"/><Relationship Id="rId87" Type="http://schemas.openxmlformats.org/officeDocument/2006/relationships/hyperlink" Target="https://doi.org/10.1145/2810044" TargetMode="External"/><Relationship Id="rId110" Type="http://schemas.openxmlformats.org/officeDocument/2006/relationships/hyperlink" Target="https://doi.org/10.1109/TVCG.2017.2656978" TargetMode="External"/><Relationship Id="rId115" Type="http://schemas.openxmlformats.org/officeDocument/2006/relationships/hyperlink" Target="https://doi.org/10.1109/access.2021.3121390" TargetMode="External"/><Relationship Id="rId61" Type="http://schemas.openxmlformats.org/officeDocument/2006/relationships/hyperlink" Target="https://doi.org/10.1007/s12193-024-00447-8" TargetMode="External"/><Relationship Id="rId82" Type="http://schemas.openxmlformats.org/officeDocument/2006/relationships/hyperlink" Target="https://doi.org/10.1145/3654777.3676463" TargetMode="External"/><Relationship Id="rId19" Type="http://schemas.openxmlformats.org/officeDocument/2006/relationships/hyperlink" Target="https://doi.org/10.1109/TVCG.2024.3372041" TargetMode="External"/><Relationship Id="rId14" Type="http://schemas.openxmlformats.org/officeDocument/2006/relationships/hyperlink" Target="https://doi.org/10.1007/s12008-020-00664-x" TargetMode="External"/><Relationship Id="rId30" Type="http://schemas.openxmlformats.org/officeDocument/2006/relationships/hyperlink" Target="https://doi.org/10.1109/mcg.2020.2985166" TargetMode="External"/><Relationship Id="rId35" Type="http://schemas.openxmlformats.org/officeDocument/2006/relationships/hyperlink" Target="https://doi.org/10.1145/3472749.3474810" TargetMode="External"/><Relationship Id="rId56" Type="http://schemas.openxmlformats.org/officeDocument/2006/relationships/hyperlink" Target="https://doi.org/10.1007/s10055-023-00777-0" TargetMode="External"/><Relationship Id="rId77" Type="http://schemas.openxmlformats.org/officeDocument/2006/relationships/hyperlink" Target="https://doi.org/10.1145/3411763.3451594" TargetMode="External"/><Relationship Id="rId100" Type="http://schemas.openxmlformats.org/officeDocument/2006/relationships/hyperlink" Target="https://doi.org/10.1109/mcg.2024.3424247" TargetMode="External"/><Relationship Id="rId105" Type="http://schemas.openxmlformats.org/officeDocument/2006/relationships/hyperlink" Target="https://doi.org/10.1007/s00371-023-02964-1" TargetMode="External"/><Relationship Id="rId8" Type="http://schemas.openxmlformats.org/officeDocument/2006/relationships/hyperlink" Target="https://doi.org/10.1007/s10055-020-00462-6" TargetMode="External"/><Relationship Id="rId51" Type="http://schemas.openxmlformats.org/officeDocument/2006/relationships/hyperlink" Target="https://doi.org/10.25046/aj050243" TargetMode="External"/><Relationship Id="rId72" Type="http://schemas.openxmlformats.org/officeDocument/2006/relationships/hyperlink" Target="https://doi.org/10.3758/s13414-021-02414-x" TargetMode="External"/><Relationship Id="rId93" Type="http://schemas.openxmlformats.org/officeDocument/2006/relationships/hyperlink" Target="https://doi.org/10.1145/3472749.3474821" TargetMode="External"/><Relationship Id="rId98" Type="http://schemas.openxmlformats.org/officeDocument/2006/relationships/hyperlink" Target="https://doi.org/10.3390/app132413106" TargetMode="External"/><Relationship Id="rId3" Type="http://schemas.openxmlformats.org/officeDocument/2006/relationships/hyperlink" Target="https://doi.org/10.5753/svr_estendido.2025.15741" TargetMode="External"/><Relationship Id="rId25" Type="http://schemas.openxmlformats.org/officeDocument/2006/relationships/hyperlink" Target="https://doi.org/10.1145/3126594.3126667" TargetMode="External"/><Relationship Id="rId46" Type="http://schemas.openxmlformats.org/officeDocument/2006/relationships/hyperlink" Target="https://doi.org/10.1145/3281505.3281507" TargetMode="External"/><Relationship Id="rId67" Type="http://schemas.openxmlformats.org/officeDocument/2006/relationships/hyperlink" Target="https://doi.org/10.1145/3313831.3376614" TargetMode="External"/><Relationship Id="rId116" Type="http://schemas.openxmlformats.org/officeDocument/2006/relationships/hyperlink" Target="https://doi.org/10.1145/3313831.3376313" TargetMode="External"/><Relationship Id="rId20" Type="http://schemas.openxmlformats.org/officeDocument/2006/relationships/hyperlink" Target="https://doi.org/10.1007/s12555-021-0072-6" TargetMode="External"/><Relationship Id="rId41" Type="http://schemas.openxmlformats.org/officeDocument/2006/relationships/hyperlink" Target="https://doi.org/10.1109/VRW50115.2020.00288" TargetMode="External"/><Relationship Id="rId62" Type="http://schemas.openxmlformats.org/officeDocument/2006/relationships/hyperlink" Target="https://doi.org/10.1007/s11042-019-08324-3" TargetMode="External"/><Relationship Id="rId83" Type="http://schemas.openxmlformats.org/officeDocument/2006/relationships/hyperlink" Target="https://doi.org/10.1007/s00170-022-09328-4" TargetMode="External"/><Relationship Id="rId88" Type="http://schemas.openxmlformats.org/officeDocument/2006/relationships/hyperlink" Target="https://doi.org/10.1145/3357236.3395459" TargetMode="External"/><Relationship Id="rId111" Type="http://schemas.openxmlformats.org/officeDocument/2006/relationships/hyperlink" Target="https://doi.org/10.1145/3290605.3300441" TargetMode="External"/><Relationship Id="rId15" Type="http://schemas.openxmlformats.org/officeDocument/2006/relationships/hyperlink" Target="https://doi.org/10.1177/1747021819835808" TargetMode="External"/><Relationship Id="rId36" Type="http://schemas.openxmlformats.org/officeDocument/2006/relationships/hyperlink" Target="https://doi.org/10.1109/ISMAR50242.2020.00042" TargetMode="External"/><Relationship Id="rId57" Type="http://schemas.openxmlformats.org/officeDocument/2006/relationships/hyperlink" Target="https://doi.org/10.1109/ISMAR52148.2021.00029" TargetMode="External"/><Relationship Id="rId106" Type="http://schemas.openxmlformats.org/officeDocument/2006/relationships/hyperlink" Target="https://doi.org/10.1109/tvcg.2019.293227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E75B6"/>
    <pageSetUpPr fitToPage="1"/>
  </sheetPr>
  <dimension ref="A1:Q119"/>
  <sheetViews>
    <sheetView tabSelected="1" zoomScale="90" workbookViewId="0">
      <pane xSplit="2" ySplit="2" topLeftCell="C9" activePane="bottomRight" state="frozen"/>
      <selection pane="topRight"/>
      <selection pane="bottomLeft"/>
      <selection pane="bottomRight" activeCell="F120" sqref="F120"/>
    </sheetView>
  </sheetViews>
  <sheetFormatPr defaultRowHeight="14.4" x14ac:dyDescent="0.3"/>
  <cols>
    <col min="1" max="1" width="5" customWidth="1"/>
    <col min="2" max="2" width="30" customWidth="1"/>
    <col min="3" max="3" width="7" customWidth="1"/>
    <col min="4" max="4" width="48" customWidth="1"/>
    <col min="5" max="5" width="34" customWidth="1"/>
    <col min="6" max="6" width="30" customWidth="1"/>
    <col min="7" max="7" width="24" customWidth="1"/>
    <col min="8" max="8" width="14" customWidth="1"/>
    <col min="9" max="9" width="11" customWidth="1"/>
    <col min="10" max="10" width="32" customWidth="1"/>
    <col min="11" max="11" width="13" customWidth="1"/>
    <col min="12" max="12" width="32" customWidth="1"/>
    <col min="13" max="13" width="26" customWidth="1"/>
    <col min="14" max="14" width="30" customWidth="1"/>
    <col min="15" max="15" width="34" customWidth="1"/>
    <col min="16" max="16" width="13" customWidth="1"/>
    <col min="17" max="17" width="14" customWidth="1"/>
  </cols>
  <sheetData>
    <row r="1" spans="1:17" ht="19.95" customHeight="1" x14ac:dyDescent="0.3">
      <c r="A1" s="26" t="s">
        <v>0</v>
      </c>
      <c r="B1" s="27"/>
      <c r="C1" s="27"/>
      <c r="D1" s="27"/>
      <c r="E1" s="27"/>
      <c r="F1" s="30" t="s">
        <v>1</v>
      </c>
      <c r="G1" s="31"/>
      <c r="H1" s="24" t="s">
        <v>2</v>
      </c>
      <c r="I1" s="25"/>
      <c r="J1" s="25"/>
      <c r="K1" s="25"/>
      <c r="L1" s="25"/>
      <c r="M1" s="28" t="s">
        <v>3</v>
      </c>
      <c r="N1" s="29"/>
      <c r="O1" s="29"/>
      <c r="P1" s="29"/>
      <c r="Q1" s="29"/>
    </row>
    <row r="2" spans="1:17" ht="42" customHeight="1" x14ac:dyDescent="0.3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  <c r="F2" s="2" t="s">
        <v>9</v>
      </c>
      <c r="G2" s="2" t="s">
        <v>10</v>
      </c>
      <c r="H2" s="3" t="s">
        <v>11</v>
      </c>
      <c r="I2" s="3" t="s">
        <v>12</v>
      </c>
      <c r="J2" s="3" t="s">
        <v>13</v>
      </c>
      <c r="K2" s="3" t="s">
        <v>14</v>
      </c>
      <c r="L2" s="3" t="s">
        <v>15</v>
      </c>
      <c r="M2" s="4" t="s">
        <v>16</v>
      </c>
      <c r="N2" s="4" t="s">
        <v>17</v>
      </c>
      <c r="O2" s="4" t="s">
        <v>18</v>
      </c>
      <c r="P2" s="4" t="s">
        <v>19</v>
      </c>
      <c r="Q2" s="4" t="s">
        <v>20</v>
      </c>
    </row>
    <row r="3" spans="1:17" ht="31.05" customHeight="1" x14ac:dyDescent="0.3">
      <c r="A3" s="5">
        <v>1</v>
      </c>
      <c r="B3" s="6" t="s">
        <v>21</v>
      </c>
      <c r="C3" s="5">
        <v>2024</v>
      </c>
      <c r="D3" s="6" t="s">
        <v>22</v>
      </c>
      <c r="E3" s="7" t="s">
        <v>23</v>
      </c>
      <c r="F3" s="6" t="s">
        <v>24</v>
      </c>
      <c r="G3" s="6" t="s">
        <v>25</v>
      </c>
      <c r="H3" s="8" t="s">
        <v>26</v>
      </c>
      <c r="I3" s="5" t="s">
        <v>27</v>
      </c>
      <c r="J3" s="6" t="s">
        <v>28</v>
      </c>
      <c r="K3" s="5" t="s">
        <v>29</v>
      </c>
      <c r="L3" s="6" t="s">
        <v>30</v>
      </c>
      <c r="M3" s="6" t="s">
        <v>31</v>
      </c>
      <c r="N3" s="6" t="s">
        <v>32</v>
      </c>
      <c r="O3" s="6" t="s">
        <v>33</v>
      </c>
      <c r="P3" s="5" t="s">
        <v>34</v>
      </c>
      <c r="Q3" s="5" t="s">
        <v>27</v>
      </c>
    </row>
    <row r="4" spans="1:17" ht="44.55" customHeight="1" x14ac:dyDescent="0.3">
      <c r="A4" s="5">
        <v>2</v>
      </c>
      <c r="B4" s="6" t="s">
        <v>35</v>
      </c>
      <c r="C4" s="5">
        <v>2021</v>
      </c>
      <c r="D4" s="6" t="s">
        <v>36</v>
      </c>
      <c r="E4" s="7" t="s">
        <v>37</v>
      </c>
      <c r="F4" s="6" t="s">
        <v>38</v>
      </c>
      <c r="G4" s="6" t="s">
        <v>39</v>
      </c>
      <c r="H4" s="8" t="s">
        <v>40</v>
      </c>
      <c r="I4" s="5" t="s">
        <v>29</v>
      </c>
      <c r="J4" s="6" t="s">
        <v>41</v>
      </c>
      <c r="K4" s="5" t="s">
        <v>27</v>
      </c>
      <c r="L4" s="6" t="s">
        <v>28</v>
      </c>
      <c r="M4" s="6" t="s">
        <v>42</v>
      </c>
      <c r="N4" s="6" t="s">
        <v>43</v>
      </c>
      <c r="O4" s="6" t="s">
        <v>44</v>
      </c>
      <c r="P4" s="5" t="s">
        <v>34</v>
      </c>
      <c r="Q4" s="5" t="s">
        <v>27</v>
      </c>
    </row>
    <row r="5" spans="1:17" ht="31.05" customHeight="1" x14ac:dyDescent="0.3">
      <c r="A5" s="5">
        <v>3</v>
      </c>
      <c r="B5" s="6" t="s">
        <v>45</v>
      </c>
      <c r="C5" s="5">
        <v>2025</v>
      </c>
      <c r="D5" s="6" t="s">
        <v>46</v>
      </c>
      <c r="E5" s="7" t="s">
        <v>47</v>
      </c>
      <c r="F5" s="6" t="s">
        <v>85</v>
      </c>
      <c r="G5" s="6" t="s">
        <v>48</v>
      </c>
      <c r="H5" s="8" t="s">
        <v>49</v>
      </c>
      <c r="I5" s="5" t="s">
        <v>27</v>
      </c>
      <c r="J5" s="6" t="s">
        <v>28</v>
      </c>
      <c r="K5" s="5" t="s">
        <v>27</v>
      </c>
      <c r="L5" s="6" t="s">
        <v>28</v>
      </c>
      <c r="M5" s="6" t="s">
        <v>50</v>
      </c>
      <c r="N5" s="6" t="s">
        <v>51</v>
      </c>
      <c r="O5" s="6" t="s">
        <v>52</v>
      </c>
      <c r="P5" s="5" t="s">
        <v>34</v>
      </c>
      <c r="Q5" s="5" t="s">
        <v>27</v>
      </c>
    </row>
    <row r="6" spans="1:17" ht="31.05" customHeight="1" x14ac:dyDescent="0.3">
      <c r="A6" s="5">
        <v>4</v>
      </c>
      <c r="B6" s="6" t="s">
        <v>53</v>
      </c>
      <c r="C6" s="5">
        <v>2021</v>
      </c>
      <c r="D6" s="6" t="s">
        <v>54</v>
      </c>
      <c r="E6" s="7" t="s">
        <v>55</v>
      </c>
      <c r="F6" s="6" t="s">
        <v>85</v>
      </c>
      <c r="G6" s="6" t="s">
        <v>56</v>
      </c>
      <c r="H6" s="8" t="s">
        <v>49</v>
      </c>
      <c r="I6" s="5" t="s">
        <v>27</v>
      </c>
      <c r="J6" s="6" t="s">
        <v>28</v>
      </c>
      <c r="K6" s="5" t="s">
        <v>27</v>
      </c>
      <c r="L6" s="6" t="s">
        <v>28</v>
      </c>
      <c r="M6" s="6" t="s">
        <v>31</v>
      </c>
      <c r="N6" s="6" t="s">
        <v>57</v>
      </c>
      <c r="O6" s="6" t="s">
        <v>58</v>
      </c>
      <c r="P6" s="5" t="s">
        <v>34</v>
      </c>
      <c r="Q6" s="5" t="s">
        <v>27</v>
      </c>
    </row>
    <row r="7" spans="1:17" ht="44.55" customHeight="1" x14ac:dyDescent="0.3">
      <c r="A7" s="5">
        <v>5</v>
      </c>
      <c r="B7" s="6" t="s">
        <v>59</v>
      </c>
      <c r="C7" s="5">
        <v>2016</v>
      </c>
      <c r="D7" s="6" t="s">
        <v>60</v>
      </c>
      <c r="E7" s="7" t="s">
        <v>61</v>
      </c>
      <c r="F7" s="6" t="s">
        <v>85</v>
      </c>
      <c r="G7" s="6" t="s">
        <v>62</v>
      </c>
      <c r="H7" s="8" t="s">
        <v>63</v>
      </c>
      <c r="I7" s="5" t="s">
        <v>29</v>
      </c>
      <c r="J7" s="6" t="s">
        <v>64</v>
      </c>
      <c r="K7" s="5" t="s">
        <v>65</v>
      </c>
      <c r="L7" s="6" t="s">
        <v>66</v>
      </c>
      <c r="M7" s="6" t="s">
        <v>67</v>
      </c>
      <c r="N7" s="6" t="s">
        <v>68</v>
      </c>
      <c r="O7" s="6" t="s">
        <v>69</v>
      </c>
      <c r="P7" s="5" t="s">
        <v>34</v>
      </c>
      <c r="Q7" s="5" t="s">
        <v>27</v>
      </c>
    </row>
    <row r="8" spans="1:17" ht="58.05" customHeight="1" x14ac:dyDescent="0.3">
      <c r="A8" s="5">
        <v>6</v>
      </c>
      <c r="B8" s="6" t="s">
        <v>70</v>
      </c>
      <c r="C8" s="5">
        <v>2019</v>
      </c>
      <c r="D8" s="6" t="s">
        <v>71</v>
      </c>
      <c r="E8" s="7" t="s">
        <v>72</v>
      </c>
      <c r="F8" s="6" t="s">
        <v>38</v>
      </c>
      <c r="G8" s="6" t="s">
        <v>39</v>
      </c>
      <c r="H8" s="8" t="s">
        <v>49</v>
      </c>
      <c r="I8" s="5" t="s">
        <v>27</v>
      </c>
      <c r="J8" s="6" t="s">
        <v>28</v>
      </c>
      <c r="K8" s="5" t="s">
        <v>27</v>
      </c>
      <c r="L8" s="6" t="s">
        <v>28</v>
      </c>
      <c r="M8" s="6" t="s">
        <v>73</v>
      </c>
      <c r="N8" s="6" t="s">
        <v>74</v>
      </c>
      <c r="O8" s="6" t="s">
        <v>75</v>
      </c>
      <c r="P8" s="5" t="s">
        <v>34</v>
      </c>
      <c r="Q8" s="5" t="s">
        <v>27</v>
      </c>
    </row>
    <row r="9" spans="1:17" ht="44.55" customHeight="1" x14ac:dyDescent="0.3">
      <c r="A9" s="5">
        <v>7</v>
      </c>
      <c r="B9" s="6" t="s">
        <v>76</v>
      </c>
      <c r="C9" s="5">
        <v>2021</v>
      </c>
      <c r="D9" s="6" t="s">
        <v>77</v>
      </c>
      <c r="E9" s="7" t="s">
        <v>78</v>
      </c>
      <c r="F9" s="6" t="s">
        <v>38</v>
      </c>
      <c r="G9" s="6" t="s">
        <v>25</v>
      </c>
      <c r="H9" s="8" t="s">
        <v>49</v>
      </c>
      <c r="I9" s="5" t="s">
        <v>27</v>
      </c>
      <c r="J9" s="6" t="s">
        <v>28</v>
      </c>
      <c r="K9" s="5" t="s">
        <v>27</v>
      </c>
      <c r="L9" s="6" t="s">
        <v>28</v>
      </c>
      <c r="M9" s="6" t="s">
        <v>79</v>
      </c>
      <c r="N9" s="6" t="s">
        <v>80</v>
      </c>
      <c r="O9" s="6" t="s">
        <v>81</v>
      </c>
      <c r="P9" s="5" t="s">
        <v>34</v>
      </c>
      <c r="Q9" s="5" t="s">
        <v>27</v>
      </c>
    </row>
    <row r="10" spans="1:17" ht="58.05" customHeight="1" x14ac:dyDescent="0.3">
      <c r="A10" s="5">
        <v>8</v>
      </c>
      <c r="B10" s="6" t="s">
        <v>82</v>
      </c>
      <c r="C10" s="5">
        <v>2020</v>
      </c>
      <c r="D10" s="6" t="s">
        <v>83</v>
      </c>
      <c r="E10" s="7" t="s">
        <v>84</v>
      </c>
      <c r="F10" s="6" t="s">
        <v>85</v>
      </c>
      <c r="G10" s="6" t="s">
        <v>39</v>
      </c>
      <c r="H10" s="8" t="s">
        <v>49</v>
      </c>
      <c r="I10" s="5" t="s">
        <v>27</v>
      </c>
      <c r="J10" s="6" t="s">
        <v>28</v>
      </c>
      <c r="K10" s="5" t="s">
        <v>27</v>
      </c>
      <c r="L10" s="6" t="s">
        <v>28</v>
      </c>
      <c r="M10" s="6" t="s">
        <v>73</v>
      </c>
      <c r="N10" s="6" t="s">
        <v>86</v>
      </c>
      <c r="O10" s="6" t="s">
        <v>87</v>
      </c>
      <c r="P10" s="5" t="s">
        <v>34</v>
      </c>
      <c r="Q10" s="5" t="s">
        <v>29</v>
      </c>
    </row>
    <row r="11" spans="1:17" ht="58.05" customHeight="1" x14ac:dyDescent="0.3">
      <c r="A11" s="5">
        <v>9</v>
      </c>
      <c r="B11" s="6" t="s">
        <v>88</v>
      </c>
      <c r="C11" s="5">
        <v>2025</v>
      </c>
      <c r="D11" s="6" t="s">
        <v>89</v>
      </c>
      <c r="E11" s="7" t="s">
        <v>90</v>
      </c>
      <c r="F11" s="6" t="s">
        <v>24</v>
      </c>
      <c r="G11" s="6" t="s">
        <v>25</v>
      </c>
      <c r="H11" s="8" t="s">
        <v>26</v>
      </c>
      <c r="I11" s="5" t="s">
        <v>27</v>
      </c>
      <c r="J11" s="6" t="s">
        <v>28</v>
      </c>
      <c r="K11" s="5" t="s">
        <v>29</v>
      </c>
      <c r="L11" s="6" t="s">
        <v>91</v>
      </c>
      <c r="M11" s="6" t="s">
        <v>31</v>
      </c>
      <c r="N11" s="6" t="s">
        <v>92</v>
      </c>
      <c r="O11" s="6" t="s">
        <v>93</v>
      </c>
      <c r="P11" s="5" t="s">
        <v>34</v>
      </c>
      <c r="Q11" s="5" t="s">
        <v>27</v>
      </c>
    </row>
    <row r="12" spans="1:17" ht="44.55" customHeight="1" x14ac:dyDescent="0.3">
      <c r="A12" s="5">
        <v>10</v>
      </c>
      <c r="B12" s="6" t="s">
        <v>94</v>
      </c>
      <c r="C12" s="5">
        <v>2023</v>
      </c>
      <c r="D12" s="6" t="s">
        <v>95</v>
      </c>
      <c r="E12" s="7" t="s">
        <v>96</v>
      </c>
      <c r="F12" s="6" t="s">
        <v>38</v>
      </c>
      <c r="G12" s="6" t="s">
        <v>62</v>
      </c>
      <c r="H12" s="8" t="s">
        <v>49</v>
      </c>
      <c r="I12" s="5" t="s">
        <v>27</v>
      </c>
      <c r="J12" s="6" t="s">
        <v>28</v>
      </c>
      <c r="K12" s="5" t="s">
        <v>27</v>
      </c>
      <c r="L12" s="6" t="s">
        <v>28</v>
      </c>
      <c r="M12" s="6" t="s">
        <v>31</v>
      </c>
      <c r="N12" s="6" t="s">
        <v>97</v>
      </c>
      <c r="O12" s="6" t="s">
        <v>52</v>
      </c>
      <c r="P12" s="5" t="s">
        <v>34</v>
      </c>
      <c r="Q12" s="5" t="s">
        <v>27</v>
      </c>
    </row>
    <row r="13" spans="1:17" ht="44.55" customHeight="1" x14ac:dyDescent="0.3">
      <c r="A13" s="5">
        <v>11</v>
      </c>
      <c r="B13" s="6" t="s">
        <v>98</v>
      </c>
      <c r="C13" s="5">
        <v>2021</v>
      </c>
      <c r="D13" s="6" t="s">
        <v>99</v>
      </c>
      <c r="E13" s="7" t="s">
        <v>100</v>
      </c>
      <c r="F13" s="6" t="s">
        <v>38</v>
      </c>
      <c r="G13" s="6" t="s">
        <v>101</v>
      </c>
      <c r="H13" s="8" t="s">
        <v>40</v>
      </c>
      <c r="I13" s="5" t="s">
        <v>29</v>
      </c>
      <c r="J13" s="6" t="s">
        <v>102</v>
      </c>
      <c r="K13" s="5" t="s">
        <v>27</v>
      </c>
      <c r="L13" s="6" t="s">
        <v>28</v>
      </c>
      <c r="M13" s="6" t="s">
        <v>31</v>
      </c>
      <c r="N13" s="6" t="s">
        <v>103</v>
      </c>
      <c r="O13" s="6" t="s">
        <v>104</v>
      </c>
      <c r="P13" s="5" t="s">
        <v>34</v>
      </c>
      <c r="Q13" s="5" t="s">
        <v>27</v>
      </c>
    </row>
    <row r="14" spans="1:17" ht="31.05" customHeight="1" x14ac:dyDescent="0.3">
      <c r="A14" s="5">
        <v>12</v>
      </c>
      <c r="B14" s="6" t="s">
        <v>105</v>
      </c>
      <c r="C14" s="5">
        <v>2022</v>
      </c>
      <c r="D14" s="6" t="s">
        <v>106</v>
      </c>
      <c r="E14" s="7" t="s">
        <v>107</v>
      </c>
      <c r="F14" s="6" t="s">
        <v>38</v>
      </c>
      <c r="G14" s="6" t="s">
        <v>62</v>
      </c>
      <c r="H14" s="8" t="s">
        <v>40</v>
      </c>
      <c r="I14" s="5" t="s">
        <v>29</v>
      </c>
      <c r="J14" s="6" t="s">
        <v>64</v>
      </c>
      <c r="K14" s="5" t="s">
        <v>27</v>
      </c>
      <c r="L14" s="6" t="s">
        <v>28</v>
      </c>
      <c r="M14" s="6" t="s">
        <v>67</v>
      </c>
      <c r="N14" s="6" t="s">
        <v>108</v>
      </c>
      <c r="O14" s="6" t="s">
        <v>109</v>
      </c>
      <c r="P14" s="5" t="s">
        <v>34</v>
      </c>
      <c r="Q14" s="5" t="s">
        <v>27</v>
      </c>
    </row>
    <row r="15" spans="1:17" ht="44.55" customHeight="1" x14ac:dyDescent="0.3">
      <c r="A15" s="5">
        <v>13</v>
      </c>
      <c r="B15" s="6" t="s">
        <v>110</v>
      </c>
      <c r="C15" s="5">
        <v>2023</v>
      </c>
      <c r="D15" s="6" t="s">
        <v>111</v>
      </c>
      <c r="E15" s="7" t="s">
        <v>112</v>
      </c>
      <c r="F15" s="6" t="s">
        <v>38</v>
      </c>
      <c r="G15" s="6" t="s">
        <v>113</v>
      </c>
      <c r="H15" s="8" t="s">
        <v>49</v>
      </c>
      <c r="I15" s="5" t="s">
        <v>27</v>
      </c>
      <c r="J15" s="6" t="s">
        <v>28</v>
      </c>
      <c r="K15" s="5" t="s">
        <v>27</v>
      </c>
      <c r="L15" s="6" t="s">
        <v>28</v>
      </c>
      <c r="M15" s="6" t="s">
        <v>114</v>
      </c>
      <c r="N15" s="6" t="s">
        <v>115</v>
      </c>
      <c r="O15" s="6" t="s">
        <v>116</v>
      </c>
      <c r="P15" s="5" t="s">
        <v>34</v>
      </c>
      <c r="Q15" s="5" t="s">
        <v>27</v>
      </c>
    </row>
    <row r="16" spans="1:17" ht="31.05" customHeight="1" x14ac:dyDescent="0.3">
      <c r="A16" s="5">
        <v>14</v>
      </c>
      <c r="B16" s="6" t="s">
        <v>117</v>
      </c>
      <c r="C16" s="5">
        <v>2020</v>
      </c>
      <c r="D16" s="6" t="s">
        <v>118</v>
      </c>
      <c r="E16" s="7" t="s">
        <v>119</v>
      </c>
      <c r="F16" s="6" t="s">
        <v>38</v>
      </c>
      <c r="G16" s="6" t="s">
        <v>39</v>
      </c>
      <c r="H16" s="8" t="s">
        <v>49</v>
      </c>
      <c r="I16" s="5" t="s">
        <v>27</v>
      </c>
      <c r="J16" s="6" t="s">
        <v>28</v>
      </c>
      <c r="K16" s="5" t="s">
        <v>27</v>
      </c>
      <c r="L16" s="6" t="s">
        <v>28</v>
      </c>
      <c r="M16" s="6" t="s">
        <v>120</v>
      </c>
      <c r="N16" s="6" t="s">
        <v>121</v>
      </c>
      <c r="O16" s="6" t="s">
        <v>122</v>
      </c>
      <c r="P16" s="5" t="s">
        <v>34</v>
      </c>
      <c r="Q16" s="5" t="s">
        <v>27</v>
      </c>
    </row>
    <row r="17" spans="1:17" ht="31.05" customHeight="1" x14ac:dyDescent="0.3">
      <c r="A17" s="5">
        <v>15</v>
      </c>
      <c r="B17" s="6" t="s">
        <v>123</v>
      </c>
      <c r="C17" s="5">
        <v>2019</v>
      </c>
      <c r="D17" s="6" t="s">
        <v>124</v>
      </c>
      <c r="E17" s="7" t="s">
        <v>125</v>
      </c>
      <c r="F17" s="6" t="s">
        <v>38</v>
      </c>
      <c r="G17" s="6" t="s">
        <v>39</v>
      </c>
      <c r="H17" s="8" t="s">
        <v>49</v>
      </c>
      <c r="I17" s="5" t="s">
        <v>27</v>
      </c>
      <c r="J17" s="6" t="s">
        <v>28</v>
      </c>
      <c r="K17" s="5" t="s">
        <v>27</v>
      </c>
      <c r="L17" s="6" t="s">
        <v>28</v>
      </c>
      <c r="M17" s="6" t="s">
        <v>126</v>
      </c>
      <c r="N17" s="6" t="s">
        <v>127</v>
      </c>
      <c r="O17" s="6" t="s">
        <v>128</v>
      </c>
      <c r="P17" s="5" t="s">
        <v>34</v>
      </c>
      <c r="Q17" s="5" t="s">
        <v>27</v>
      </c>
    </row>
    <row r="18" spans="1:17" ht="44.55" customHeight="1" x14ac:dyDescent="0.3">
      <c r="A18" s="5">
        <v>16</v>
      </c>
      <c r="B18" s="6" t="s">
        <v>129</v>
      </c>
      <c r="C18" s="5">
        <v>2022</v>
      </c>
      <c r="D18" s="6" t="s">
        <v>130</v>
      </c>
      <c r="E18" s="7" t="s">
        <v>131</v>
      </c>
      <c r="F18" s="6" t="s">
        <v>38</v>
      </c>
      <c r="G18" s="6" t="s">
        <v>62</v>
      </c>
      <c r="H18" s="8" t="s">
        <v>40</v>
      </c>
      <c r="I18" s="5" t="s">
        <v>29</v>
      </c>
      <c r="J18" s="6" t="s">
        <v>132</v>
      </c>
      <c r="K18" s="5" t="s">
        <v>27</v>
      </c>
      <c r="L18" s="6" t="s">
        <v>28</v>
      </c>
      <c r="M18" s="6" t="s">
        <v>79</v>
      </c>
      <c r="N18" s="6" t="s">
        <v>133</v>
      </c>
      <c r="O18" s="6" t="s">
        <v>134</v>
      </c>
      <c r="P18" s="5" t="s">
        <v>34</v>
      </c>
      <c r="Q18" s="5" t="s">
        <v>27</v>
      </c>
    </row>
    <row r="19" spans="1:17" ht="58.05" customHeight="1" x14ac:dyDescent="0.3">
      <c r="A19" s="5">
        <v>17</v>
      </c>
      <c r="B19" s="6" t="s">
        <v>135</v>
      </c>
      <c r="C19" s="5">
        <v>2024</v>
      </c>
      <c r="D19" s="6" t="s">
        <v>136</v>
      </c>
      <c r="E19" s="7" t="s">
        <v>137</v>
      </c>
      <c r="F19" s="6" t="s">
        <v>85</v>
      </c>
      <c r="G19" s="6" t="s">
        <v>138</v>
      </c>
      <c r="H19" s="8" t="s">
        <v>63</v>
      </c>
      <c r="I19" s="5" t="s">
        <v>29</v>
      </c>
      <c r="J19" s="6" t="s">
        <v>64</v>
      </c>
      <c r="K19" s="5" t="s">
        <v>65</v>
      </c>
      <c r="L19" s="6" t="s">
        <v>28</v>
      </c>
      <c r="M19" s="6" t="s">
        <v>42</v>
      </c>
      <c r="N19" s="6" t="s">
        <v>139</v>
      </c>
      <c r="O19" s="6" t="s">
        <v>140</v>
      </c>
      <c r="P19" s="5" t="s">
        <v>34</v>
      </c>
      <c r="Q19" s="5" t="s">
        <v>27</v>
      </c>
    </row>
    <row r="20" spans="1:17" ht="31.05" customHeight="1" x14ac:dyDescent="0.3">
      <c r="A20" s="5">
        <v>18</v>
      </c>
      <c r="B20" s="6" t="s">
        <v>141</v>
      </c>
      <c r="C20" s="5">
        <v>2021</v>
      </c>
      <c r="D20" s="6" t="s">
        <v>142</v>
      </c>
      <c r="E20" s="7" t="s">
        <v>143</v>
      </c>
      <c r="F20" s="6" t="s">
        <v>85</v>
      </c>
      <c r="G20" s="6" t="s">
        <v>25</v>
      </c>
      <c r="H20" s="8" t="s">
        <v>49</v>
      </c>
      <c r="I20" s="5" t="s">
        <v>27</v>
      </c>
      <c r="J20" s="6" t="s">
        <v>28</v>
      </c>
      <c r="K20" s="5" t="s">
        <v>27</v>
      </c>
      <c r="L20" s="6" t="s">
        <v>28</v>
      </c>
      <c r="M20" s="6" t="s">
        <v>42</v>
      </c>
      <c r="N20" s="6" t="s">
        <v>144</v>
      </c>
      <c r="O20" s="6" t="s">
        <v>145</v>
      </c>
      <c r="P20" s="5" t="s">
        <v>34</v>
      </c>
      <c r="Q20" s="5" t="s">
        <v>27</v>
      </c>
    </row>
    <row r="21" spans="1:17" ht="44.55" customHeight="1" x14ac:dyDescent="0.3">
      <c r="A21" s="5">
        <v>19</v>
      </c>
      <c r="B21" s="6" t="s">
        <v>146</v>
      </c>
      <c r="C21" s="5">
        <v>2024</v>
      </c>
      <c r="D21" s="6" t="s">
        <v>147</v>
      </c>
      <c r="E21" s="7" t="s">
        <v>148</v>
      </c>
      <c r="F21" s="6" t="s">
        <v>38</v>
      </c>
      <c r="G21" s="6" t="s">
        <v>62</v>
      </c>
      <c r="H21" s="8" t="s">
        <v>49</v>
      </c>
      <c r="I21" s="5" t="s">
        <v>27</v>
      </c>
      <c r="J21" s="6" t="s">
        <v>28</v>
      </c>
      <c r="K21" s="5" t="s">
        <v>27</v>
      </c>
      <c r="L21" s="6" t="s">
        <v>28</v>
      </c>
      <c r="M21" s="6" t="s">
        <v>79</v>
      </c>
      <c r="N21" s="6" t="s">
        <v>149</v>
      </c>
      <c r="O21" s="6" t="s">
        <v>150</v>
      </c>
      <c r="P21" s="5" t="s">
        <v>34</v>
      </c>
      <c r="Q21" s="5" t="s">
        <v>27</v>
      </c>
    </row>
    <row r="22" spans="1:17" ht="44.55" customHeight="1" x14ac:dyDescent="0.3">
      <c r="A22" s="5">
        <v>20</v>
      </c>
      <c r="B22" s="6" t="s">
        <v>151</v>
      </c>
      <c r="C22" s="5">
        <v>2022</v>
      </c>
      <c r="D22" s="6" t="s">
        <v>152</v>
      </c>
      <c r="E22" s="7" t="s">
        <v>153</v>
      </c>
      <c r="F22" s="6" t="s">
        <v>38</v>
      </c>
      <c r="G22" s="6" t="s">
        <v>39</v>
      </c>
      <c r="H22" s="8" t="s">
        <v>154</v>
      </c>
      <c r="I22" s="5" t="s">
        <v>27</v>
      </c>
      <c r="J22" s="6" t="s">
        <v>28</v>
      </c>
      <c r="K22" s="5" t="s">
        <v>65</v>
      </c>
      <c r="L22" s="6" t="s">
        <v>155</v>
      </c>
      <c r="M22" s="6" t="s">
        <v>156</v>
      </c>
      <c r="N22" s="6" t="s">
        <v>157</v>
      </c>
      <c r="O22" s="6" t="s">
        <v>158</v>
      </c>
      <c r="P22" s="5" t="s">
        <v>34</v>
      </c>
      <c r="Q22" s="5" t="s">
        <v>27</v>
      </c>
    </row>
    <row r="23" spans="1:17" ht="44.55" customHeight="1" x14ac:dyDescent="0.3">
      <c r="A23" s="5">
        <v>21</v>
      </c>
      <c r="B23" s="6" t="s">
        <v>159</v>
      </c>
      <c r="C23" s="5">
        <v>2025</v>
      </c>
      <c r="D23" s="6" t="s">
        <v>160</v>
      </c>
      <c r="E23" s="7" t="s">
        <v>161</v>
      </c>
      <c r="F23" s="6" t="s">
        <v>38</v>
      </c>
      <c r="G23" s="6" t="s">
        <v>62</v>
      </c>
      <c r="H23" s="8" t="s">
        <v>49</v>
      </c>
      <c r="I23" s="5" t="s">
        <v>27</v>
      </c>
      <c r="J23" s="6" t="s">
        <v>28</v>
      </c>
      <c r="K23" s="5" t="s">
        <v>27</v>
      </c>
      <c r="L23" s="6" t="s">
        <v>28</v>
      </c>
      <c r="M23" s="6" t="s">
        <v>31</v>
      </c>
      <c r="N23" s="6" t="s">
        <v>162</v>
      </c>
      <c r="O23" s="6" t="s">
        <v>163</v>
      </c>
      <c r="P23" s="5" t="s">
        <v>34</v>
      </c>
      <c r="Q23" s="5" t="s">
        <v>27</v>
      </c>
    </row>
    <row r="24" spans="1:17" ht="44.55" customHeight="1" x14ac:dyDescent="0.3">
      <c r="A24" s="5">
        <v>22</v>
      </c>
      <c r="B24" s="6" t="s">
        <v>164</v>
      </c>
      <c r="C24" s="5">
        <v>2025</v>
      </c>
      <c r="D24" s="6" t="s">
        <v>165</v>
      </c>
      <c r="E24" s="7" t="s">
        <v>166</v>
      </c>
      <c r="F24" s="6" t="s">
        <v>38</v>
      </c>
      <c r="G24" s="6" t="s">
        <v>167</v>
      </c>
      <c r="H24" s="8" t="s">
        <v>49</v>
      </c>
      <c r="I24" s="5" t="s">
        <v>27</v>
      </c>
      <c r="J24" s="6" t="s">
        <v>28</v>
      </c>
      <c r="K24" s="5" t="s">
        <v>27</v>
      </c>
      <c r="L24" s="6" t="s">
        <v>28</v>
      </c>
      <c r="M24" s="6" t="s">
        <v>73</v>
      </c>
      <c r="N24" s="6" t="s">
        <v>168</v>
      </c>
      <c r="O24" s="6" t="s">
        <v>169</v>
      </c>
      <c r="P24" s="5" t="s">
        <v>34</v>
      </c>
      <c r="Q24" s="5" t="s">
        <v>27</v>
      </c>
    </row>
    <row r="25" spans="1:17" ht="44.55" customHeight="1" x14ac:dyDescent="0.3">
      <c r="A25" s="5">
        <v>23</v>
      </c>
      <c r="B25" s="6" t="s">
        <v>170</v>
      </c>
      <c r="C25" s="5">
        <v>2024</v>
      </c>
      <c r="D25" s="6" t="s">
        <v>171</v>
      </c>
      <c r="E25" s="7" t="s">
        <v>172</v>
      </c>
      <c r="F25" s="6" t="s">
        <v>38</v>
      </c>
      <c r="G25" s="6" t="s">
        <v>25</v>
      </c>
      <c r="H25" s="8" t="s">
        <v>49</v>
      </c>
      <c r="I25" s="5" t="s">
        <v>27</v>
      </c>
      <c r="J25" s="6" t="s">
        <v>28</v>
      </c>
      <c r="K25" s="5" t="s">
        <v>27</v>
      </c>
      <c r="L25" s="6" t="s">
        <v>28</v>
      </c>
      <c r="M25" s="6" t="s">
        <v>73</v>
      </c>
      <c r="N25" s="6" t="s">
        <v>173</v>
      </c>
      <c r="O25" s="6" t="s">
        <v>52</v>
      </c>
      <c r="P25" s="5" t="s">
        <v>34</v>
      </c>
      <c r="Q25" s="5" t="s">
        <v>27</v>
      </c>
    </row>
    <row r="26" spans="1:17" ht="44.55" customHeight="1" x14ac:dyDescent="0.3">
      <c r="A26" s="5">
        <v>24</v>
      </c>
      <c r="B26" s="6" t="s">
        <v>174</v>
      </c>
      <c r="C26" s="5">
        <v>2018</v>
      </c>
      <c r="D26" s="6" t="s">
        <v>175</v>
      </c>
      <c r="E26" s="7" t="s">
        <v>176</v>
      </c>
      <c r="F26" s="6" t="s">
        <v>85</v>
      </c>
      <c r="G26" s="6" t="s">
        <v>62</v>
      </c>
      <c r="H26" s="8" t="s">
        <v>49</v>
      </c>
      <c r="I26" s="5" t="s">
        <v>27</v>
      </c>
      <c r="J26" s="6" t="s">
        <v>28</v>
      </c>
      <c r="K26" s="5" t="s">
        <v>27</v>
      </c>
      <c r="L26" s="6" t="s">
        <v>28</v>
      </c>
      <c r="M26" s="6" t="s">
        <v>67</v>
      </c>
      <c r="N26" s="6" t="s">
        <v>177</v>
      </c>
      <c r="O26" s="6" t="s">
        <v>178</v>
      </c>
      <c r="P26" s="5" t="s">
        <v>34</v>
      </c>
      <c r="Q26" s="5" t="s">
        <v>27</v>
      </c>
    </row>
    <row r="27" spans="1:17" ht="31.05" customHeight="1" x14ac:dyDescent="0.3">
      <c r="A27" s="5">
        <v>25</v>
      </c>
      <c r="B27" s="6" t="s">
        <v>179</v>
      </c>
      <c r="C27" s="5">
        <v>2017</v>
      </c>
      <c r="D27" s="6" t="s">
        <v>180</v>
      </c>
      <c r="E27" s="7" t="s">
        <v>181</v>
      </c>
      <c r="F27" s="6" t="s">
        <v>38</v>
      </c>
      <c r="G27" s="6" t="s">
        <v>62</v>
      </c>
      <c r="H27" s="8" t="s">
        <v>40</v>
      </c>
      <c r="I27" s="5" t="s">
        <v>29</v>
      </c>
      <c r="J27" s="6" t="s">
        <v>64</v>
      </c>
      <c r="K27" s="5" t="s">
        <v>27</v>
      </c>
      <c r="L27" s="6" t="s">
        <v>28</v>
      </c>
      <c r="M27" s="6" t="s">
        <v>67</v>
      </c>
      <c r="N27" s="6" t="s">
        <v>182</v>
      </c>
      <c r="O27" s="6" t="s">
        <v>183</v>
      </c>
      <c r="P27" s="5" t="s">
        <v>34</v>
      </c>
      <c r="Q27" s="5" t="s">
        <v>27</v>
      </c>
    </row>
    <row r="28" spans="1:17" ht="31.05" customHeight="1" x14ac:dyDescent="0.3">
      <c r="A28" s="5">
        <v>26</v>
      </c>
      <c r="B28" s="6" t="s">
        <v>184</v>
      </c>
      <c r="C28" s="5">
        <v>2023</v>
      </c>
      <c r="D28" s="6" t="s">
        <v>185</v>
      </c>
      <c r="E28" s="7" t="s">
        <v>186</v>
      </c>
      <c r="F28" s="6" t="s">
        <v>85</v>
      </c>
      <c r="G28" s="6" t="s">
        <v>28</v>
      </c>
      <c r="H28" s="8" t="s">
        <v>40</v>
      </c>
      <c r="I28" s="5" t="s">
        <v>29</v>
      </c>
      <c r="J28" s="6" t="s">
        <v>64</v>
      </c>
      <c r="K28" s="5" t="s">
        <v>27</v>
      </c>
      <c r="L28" s="6" t="s">
        <v>28</v>
      </c>
      <c r="M28" s="6" t="s">
        <v>79</v>
      </c>
      <c r="N28" s="6" t="s">
        <v>173</v>
      </c>
      <c r="O28" s="6" t="s">
        <v>187</v>
      </c>
      <c r="P28" s="5" t="s">
        <v>34</v>
      </c>
      <c r="Q28" s="5" t="s">
        <v>27</v>
      </c>
    </row>
    <row r="29" spans="1:17" ht="44.55" customHeight="1" x14ac:dyDescent="0.3">
      <c r="A29" s="5">
        <v>27</v>
      </c>
      <c r="B29" s="6" t="s">
        <v>188</v>
      </c>
      <c r="C29" s="5">
        <v>2023</v>
      </c>
      <c r="D29" s="6" t="s">
        <v>189</v>
      </c>
      <c r="E29" s="7" t="s">
        <v>190</v>
      </c>
      <c r="F29" s="6" t="s">
        <v>38</v>
      </c>
      <c r="G29" s="6" t="s">
        <v>62</v>
      </c>
      <c r="H29" s="8" t="s">
        <v>40</v>
      </c>
      <c r="I29" s="5" t="s">
        <v>29</v>
      </c>
      <c r="J29" s="6" t="s">
        <v>191</v>
      </c>
      <c r="K29" s="5" t="s">
        <v>27</v>
      </c>
      <c r="L29" s="6" t="s">
        <v>28</v>
      </c>
      <c r="M29" s="6" t="s">
        <v>50</v>
      </c>
      <c r="N29" s="6" t="s">
        <v>192</v>
      </c>
      <c r="O29" s="6" t="s">
        <v>193</v>
      </c>
      <c r="P29" s="5" t="s">
        <v>34</v>
      </c>
      <c r="Q29" s="5" t="s">
        <v>27</v>
      </c>
    </row>
    <row r="30" spans="1:17" ht="44.55" customHeight="1" x14ac:dyDescent="0.3">
      <c r="A30" s="5">
        <v>28</v>
      </c>
      <c r="B30" s="6" t="s">
        <v>194</v>
      </c>
      <c r="C30" s="5">
        <v>2019</v>
      </c>
      <c r="D30" s="6" t="s">
        <v>195</v>
      </c>
      <c r="E30" s="7" t="s">
        <v>196</v>
      </c>
      <c r="F30" s="6" t="s">
        <v>24</v>
      </c>
      <c r="G30" s="6" t="s">
        <v>25</v>
      </c>
      <c r="H30" s="8" t="s">
        <v>49</v>
      </c>
      <c r="I30" s="5" t="s">
        <v>27</v>
      </c>
      <c r="J30" s="6" t="s">
        <v>28</v>
      </c>
      <c r="K30" s="5" t="s">
        <v>27</v>
      </c>
      <c r="L30" s="6" t="s">
        <v>28</v>
      </c>
      <c r="M30" s="6" t="s">
        <v>31</v>
      </c>
      <c r="N30" s="6" t="s">
        <v>197</v>
      </c>
      <c r="O30" s="6" t="s">
        <v>198</v>
      </c>
      <c r="P30" s="5" t="s">
        <v>34</v>
      </c>
      <c r="Q30" s="5" t="s">
        <v>27</v>
      </c>
    </row>
    <row r="31" spans="1:17" ht="31.05" customHeight="1" x14ac:dyDescent="0.3">
      <c r="A31" s="5">
        <v>29</v>
      </c>
      <c r="B31" s="6" t="s">
        <v>199</v>
      </c>
      <c r="C31" s="5">
        <v>2019</v>
      </c>
      <c r="D31" s="6" t="s">
        <v>200</v>
      </c>
      <c r="E31" s="7" t="s">
        <v>201</v>
      </c>
      <c r="F31" s="6" t="s">
        <v>38</v>
      </c>
      <c r="G31" s="6" t="s">
        <v>62</v>
      </c>
      <c r="H31" s="8" t="s">
        <v>40</v>
      </c>
      <c r="I31" s="5" t="s">
        <v>29</v>
      </c>
      <c r="J31" s="6" t="s">
        <v>202</v>
      </c>
      <c r="K31" s="5" t="s">
        <v>27</v>
      </c>
      <c r="L31" s="6" t="s">
        <v>28</v>
      </c>
      <c r="M31" s="6" t="s">
        <v>31</v>
      </c>
      <c r="N31" s="6" t="s">
        <v>203</v>
      </c>
      <c r="O31" s="6" t="s">
        <v>204</v>
      </c>
      <c r="P31" s="5" t="s">
        <v>34</v>
      </c>
      <c r="Q31" s="5" t="s">
        <v>27</v>
      </c>
    </row>
    <row r="32" spans="1:17" ht="44.55" customHeight="1" x14ac:dyDescent="0.3">
      <c r="A32" s="5">
        <v>30</v>
      </c>
      <c r="B32" s="6" t="s">
        <v>205</v>
      </c>
      <c r="C32" s="5">
        <v>2020</v>
      </c>
      <c r="D32" s="6" t="s">
        <v>206</v>
      </c>
      <c r="E32" s="7" t="s">
        <v>207</v>
      </c>
      <c r="F32" s="6" t="s">
        <v>38</v>
      </c>
      <c r="G32" s="6" t="s">
        <v>62</v>
      </c>
      <c r="H32" s="8" t="s">
        <v>49</v>
      </c>
      <c r="I32" s="5" t="s">
        <v>27</v>
      </c>
      <c r="J32" s="6" t="s">
        <v>28</v>
      </c>
      <c r="K32" s="5" t="s">
        <v>27</v>
      </c>
      <c r="L32" s="6" t="s">
        <v>28</v>
      </c>
      <c r="M32" s="6" t="s">
        <v>42</v>
      </c>
      <c r="N32" s="6" t="s">
        <v>208</v>
      </c>
      <c r="O32" s="6" t="s">
        <v>204</v>
      </c>
      <c r="P32" s="5" t="s">
        <v>34</v>
      </c>
      <c r="Q32" s="5" t="s">
        <v>27</v>
      </c>
    </row>
    <row r="33" spans="1:17" ht="31.05" customHeight="1" x14ac:dyDescent="0.3">
      <c r="A33" s="5">
        <v>31</v>
      </c>
      <c r="B33" s="6" t="s">
        <v>209</v>
      </c>
      <c r="C33" s="5">
        <v>2018</v>
      </c>
      <c r="D33" s="6" t="s">
        <v>210</v>
      </c>
      <c r="E33" s="7" t="s">
        <v>211</v>
      </c>
      <c r="F33" s="6" t="s">
        <v>38</v>
      </c>
      <c r="G33" s="6" t="s">
        <v>62</v>
      </c>
      <c r="H33" s="8" t="s">
        <v>40</v>
      </c>
      <c r="I33" s="5" t="s">
        <v>29</v>
      </c>
      <c r="J33" s="6" t="s">
        <v>212</v>
      </c>
      <c r="K33" s="5" t="s">
        <v>27</v>
      </c>
      <c r="L33" s="6" t="s">
        <v>28</v>
      </c>
      <c r="M33" s="6" t="s">
        <v>31</v>
      </c>
      <c r="N33" s="6" t="s">
        <v>213</v>
      </c>
      <c r="O33" s="6" t="s">
        <v>214</v>
      </c>
      <c r="P33" s="5" t="s">
        <v>34</v>
      </c>
      <c r="Q33" s="5" t="s">
        <v>27</v>
      </c>
    </row>
    <row r="34" spans="1:17" ht="58.05" customHeight="1" x14ac:dyDescent="0.3">
      <c r="A34" s="5">
        <v>32</v>
      </c>
      <c r="B34" s="6" t="s">
        <v>215</v>
      </c>
      <c r="C34" s="5">
        <v>2020</v>
      </c>
      <c r="D34" s="6" t="s">
        <v>216</v>
      </c>
      <c r="E34" s="7" t="s">
        <v>217</v>
      </c>
      <c r="F34" s="6" t="s">
        <v>38</v>
      </c>
      <c r="G34" s="6" t="s">
        <v>39</v>
      </c>
      <c r="H34" s="8" t="s">
        <v>49</v>
      </c>
      <c r="I34" s="5" t="s">
        <v>27</v>
      </c>
      <c r="J34" s="6" t="s">
        <v>28</v>
      </c>
      <c r="K34" s="5" t="s">
        <v>27</v>
      </c>
      <c r="L34" s="6" t="s">
        <v>28</v>
      </c>
      <c r="M34" s="6" t="s">
        <v>31</v>
      </c>
      <c r="N34" s="6" t="s">
        <v>213</v>
      </c>
      <c r="O34" s="6" t="s">
        <v>193</v>
      </c>
      <c r="P34" s="5" t="s">
        <v>34</v>
      </c>
      <c r="Q34" s="5" t="s">
        <v>27</v>
      </c>
    </row>
    <row r="35" spans="1:17" ht="58.05" customHeight="1" x14ac:dyDescent="0.3">
      <c r="A35" s="5">
        <v>33</v>
      </c>
      <c r="B35" s="6" t="s">
        <v>218</v>
      </c>
      <c r="C35" s="5">
        <v>2024</v>
      </c>
      <c r="D35" s="6" t="s">
        <v>219</v>
      </c>
      <c r="E35" s="7" t="s">
        <v>220</v>
      </c>
      <c r="F35" s="6" t="s">
        <v>24</v>
      </c>
      <c r="G35" s="6" t="s">
        <v>113</v>
      </c>
      <c r="H35" s="8" t="s">
        <v>49</v>
      </c>
      <c r="I35" s="5" t="s">
        <v>27</v>
      </c>
      <c r="J35" s="6" t="s">
        <v>28</v>
      </c>
      <c r="K35" s="5" t="s">
        <v>27</v>
      </c>
      <c r="L35" s="6" t="s">
        <v>28</v>
      </c>
      <c r="M35" s="6" t="s">
        <v>221</v>
      </c>
      <c r="N35" s="6" t="s">
        <v>222</v>
      </c>
      <c r="O35" s="6" t="s">
        <v>223</v>
      </c>
      <c r="P35" s="5" t="s">
        <v>34</v>
      </c>
      <c r="Q35" s="5" t="s">
        <v>27</v>
      </c>
    </row>
    <row r="36" spans="1:17" ht="58.05" customHeight="1" x14ac:dyDescent="0.3">
      <c r="A36" s="5">
        <v>34</v>
      </c>
      <c r="B36" s="6" t="s">
        <v>224</v>
      </c>
      <c r="C36" s="5">
        <v>2025</v>
      </c>
      <c r="D36" s="6" t="s">
        <v>225</v>
      </c>
      <c r="E36" s="7" t="s">
        <v>226</v>
      </c>
      <c r="F36" s="6" t="s">
        <v>38</v>
      </c>
      <c r="G36" s="6" t="s">
        <v>39</v>
      </c>
      <c r="H36" s="8" t="s">
        <v>40</v>
      </c>
      <c r="I36" s="5" t="s">
        <v>29</v>
      </c>
      <c r="J36" s="6" t="s">
        <v>191</v>
      </c>
      <c r="K36" s="5" t="s">
        <v>27</v>
      </c>
      <c r="L36" s="6" t="s">
        <v>28</v>
      </c>
      <c r="M36" s="6" t="s">
        <v>31</v>
      </c>
      <c r="N36" s="6" t="s">
        <v>92</v>
      </c>
      <c r="O36" s="6" t="s">
        <v>227</v>
      </c>
      <c r="P36" s="5" t="s">
        <v>34</v>
      </c>
      <c r="Q36" s="5" t="s">
        <v>27</v>
      </c>
    </row>
    <row r="37" spans="1:17" ht="31.05" customHeight="1" x14ac:dyDescent="0.3">
      <c r="A37" s="5">
        <v>35</v>
      </c>
      <c r="B37" s="6" t="s">
        <v>228</v>
      </c>
      <c r="C37" s="5">
        <v>2021</v>
      </c>
      <c r="D37" s="6" t="s">
        <v>229</v>
      </c>
      <c r="E37" s="7" t="s">
        <v>230</v>
      </c>
      <c r="F37" s="6" t="s">
        <v>645</v>
      </c>
      <c r="G37" s="6" t="s">
        <v>38</v>
      </c>
      <c r="H37" s="8" t="s">
        <v>26</v>
      </c>
      <c r="I37" s="5" t="s">
        <v>27</v>
      </c>
      <c r="J37" s="6" t="s">
        <v>28</v>
      </c>
      <c r="K37" s="5" t="s">
        <v>29</v>
      </c>
      <c r="L37" s="6" t="s">
        <v>231</v>
      </c>
      <c r="M37" s="6" t="s">
        <v>31</v>
      </c>
      <c r="N37" s="6" t="s">
        <v>232</v>
      </c>
      <c r="O37" s="6" t="s">
        <v>233</v>
      </c>
      <c r="P37" s="5" t="s">
        <v>34</v>
      </c>
      <c r="Q37" s="5" t="s">
        <v>27</v>
      </c>
    </row>
    <row r="38" spans="1:17" ht="44.55" customHeight="1" x14ac:dyDescent="0.3">
      <c r="A38" s="5">
        <v>36</v>
      </c>
      <c r="B38" s="6" t="s">
        <v>234</v>
      </c>
      <c r="C38" s="5">
        <v>2020</v>
      </c>
      <c r="D38" s="6" t="s">
        <v>235</v>
      </c>
      <c r="E38" s="7" t="s">
        <v>236</v>
      </c>
      <c r="F38" s="6" t="s">
        <v>38</v>
      </c>
      <c r="G38" s="6" t="s">
        <v>237</v>
      </c>
      <c r="H38" s="8" t="s">
        <v>49</v>
      </c>
      <c r="I38" s="5" t="s">
        <v>27</v>
      </c>
      <c r="J38" s="6" t="s">
        <v>28</v>
      </c>
      <c r="K38" s="5" t="s">
        <v>27</v>
      </c>
      <c r="L38" s="6" t="s">
        <v>28</v>
      </c>
      <c r="M38" s="6" t="s">
        <v>67</v>
      </c>
      <c r="N38" s="6" t="s">
        <v>238</v>
      </c>
      <c r="O38" s="6" t="s">
        <v>239</v>
      </c>
      <c r="P38" s="5" t="s">
        <v>34</v>
      </c>
      <c r="Q38" s="5" t="s">
        <v>27</v>
      </c>
    </row>
    <row r="39" spans="1:17" ht="44.55" customHeight="1" x14ac:dyDescent="0.3">
      <c r="A39" s="5">
        <v>37</v>
      </c>
      <c r="B39" s="6" t="s">
        <v>240</v>
      </c>
      <c r="C39" s="5">
        <v>2021</v>
      </c>
      <c r="D39" s="6" t="s">
        <v>241</v>
      </c>
      <c r="E39" s="7" t="s">
        <v>242</v>
      </c>
      <c r="F39" s="6" t="s">
        <v>243</v>
      </c>
      <c r="G39" s="6" t="s">
        <v>244</v>
      </c>
      <c r="H39" s="8" t="s">
        <v>154</v>
      </c>
      <c r="I39" s="5" t="s">
        <v>27</v>
      </c>
      <c r="J39" s="6" t="s">
        <v>28</v>
      </c>
      <c r="K39" s="5" t="s">
        <v>65</v>
      </c>
      <c r="L39" s="6" t="s">
        <v>28</v>
      </c>
      <c r="M39" s="6" t="s">
        <v>67</v>
      </c>
      <c r="N39" s="6" t="s">
        <v>245</v>
      </c>
      <c r="O39" s="6" t="s">
        <v>246</v>
      </c>
      <c r="P39" s="5" t="s">
        <v>34</v>
      </c>
      <c r="Q39" s="5" t="s">
        <v>27</v>
      </c>
    </row>
    <row r="40" spans="1:17" ht="44.55" customHeight="1" x14ac:dyDescent="0.3">
      <c r="A40" s="5">
        <v>38</v>
      </c>
      <c r="B40" s="6" t="s">
        <v>247</v>
      </c>
      <c r="C40" s="5">
        <v>2022</v>
      </c>
      <c r="D40" s="6" t="s">
        <v>248</v>
      </c>
      <c r="E40" s="7" t="s">
        <v>249</v>
      </c>
      <c r="F40" s="6" t="s">
        <v>243</v>
      </c>
      <c r="G40" s="6" t="s">
        <v>244</v>
      </c>
      <c r="H40" s="8" t="s">
        <v>49</v>
      </c>
      <c r="I40" s="5" t="s">
        <v>27</v>
      </c>
      <c r="J40" s="6" t="s">
        <v>28</v>
      </c>
      <c r="K40" s="5" t="s">
        <v>27</v>
      </c>
      <c r="L40" s="6" t="s">
        <v>28</v>
      </c>
      <c r="M40" s="6" t="s">
        <v>31</v>
      </c>
      <c r="N40" s="6" t="s">
        <v>250</v>
      </c>
      <c r="O40" s="6" t="s">
        <v>251</v>
      </c>
      <c r="P40" s="5" t="s">
        <v>34</v>
      </c>
      <c r="Q40" s="5" t="s">
        <v>27</v>
      </c>
    </row>
    <row r="41" spans="1:17" ht="44.55" customHeight="1" x14ac:dyDescent="0.3">
      <c r="A41" s="5">
        <v>39</v>
      </c>
      <c r="B41" s="6" t="s">
        <v>252</v>
      </c>
      <c r="C41" s="5">
        <v>2023</v>
      </c>
      <c r="D41" s="6" t="s">
        <v>253</v>
      </c>
      <c r="E41" s="7" t="s">
        <v>254</v>
      </c>
      <c r="F41" s="6" t="s">
        <v>85</v>
      </c>
      <c r="G41" s="6" t="s">
        <v>244</v>
      </c>
      <c r="H41" s="8" t="s">
        <v>49</v>
      </c>
      <c r="I41" s="5" t="s">
        <v>27</v>
      </c>
      <c r="J41" s="6" t="s">
        <v>28</v>
      </c>
      <c r="K41" s="5" t="s">
        <v>27</v>
      </c>
      <c r="L41" s="6" t="s">
        <v>28</v>
      </c>
      <c r="M41" s="6" t="s">
        <v>73</v>
      </c>
      <c r="N41" s="6" t="s">
        <v>250</v>
      </c>
      <c r="O41" s="6" t="s">
        <v>255</v>
      </c>
      <c r="P41" s="5" t="s">
        <v>34</v>
      </c>
      <c r="Q41" s="5" t="s">
        <v>29</v>
      </c>
    </row>
    <row r="42" spans="1:17" ht="44.55" customHeight="1" x14ac:dyDescent="0.3">
      <c r="A42" s="5">
        <v>40</v>
      </c>
      <c r="B42" s="6" t="s">
        <v>256</v>
      </c>
      <c r="C42" s="5">
        <v>2023</v>
      </c>
      <c r="D42" s="6" t="s">
        <v>257</v>
      </c>
      <c r="E42" s="7" t="s">
        <v>258</v>
      </c>
      <c r="F42" s="6" t="s">
        <v>38</v>
      </c>
      <c r="G42" s="6" t="s">
        <v>28</v>
      </c>
      <c r="H42" s="8" t="s">
        <v>49</v>
      </c>
      <c r="I42" s="5" t="s">
        <v>27</v>
      </c>
      <c r="J42" s="6" t="s">
        <v>28</v>
      </c>
      <c r="K42" s="5" t="s">
        <v>27</v>
      </c>
      <c r="L42" s="6" t="s">
        <v>28</v>
      </c>
      <c r="M42" s="6" t="s">
        <v>31</v>
      </c>
      <c r="N42" s="6" t="s">
        <v>259</v>
      </c>
      <c r="O42" s="6" t="s">
        <v>193</v>
      </c>
      <c r="P42" s="5" t="s">
        <v>34</v>
      </c>
      <c r="Q42" s="5" t="s">
        <v>27</v>
      </c>
    </row>
    <row r="43" spans="1:17" ht="71.55" customHeight="1" x14ac:dyDescent="0.3">
      <c r="A43" s="5">
        <v>41</v>
      </c>
      <c r="B43" s="6" t="s">
        <v>260</v>
      </c>
      <c r="C43" s="5">
        <v>2020</v>
      </c>
      <c r="D43" s="6" t="s">
        <v>261</v>
      </c>
      <c r="E43" s="7" t="s">
        <v>262</v>
      </c>
      <c r="F43" s="6" t="s">
        <v>38</v>
      </c>
      <c r="G43" s="6" t="s">
        <v>62</v>
      </c>
      <c r="H43" s="8" t="s">
        <v>49</v>
      </c>
      <c r="I43" s="5" t="s">
        <v>27</v>
      </c>
      <c r="J43" s="6" t="s">
        <v>28</v>
      </c>
      <c r="K43" s="5" t="s">
        <v>27</v>
      </c>
      <c r="L43" s="6" t="s">
        <v>28</v>
      </c>
      <c r="M43" s="6" t="s">
        <v>79</v>
      </c>
      <c r="N43" s="6" t="s">
        <v>263</v>
      </c>
      <c r="O43" s="6" t="s">
        <v>264</v>
      </c>
      <c r="P43" s="5" t="s">
        <v>34</v>
      </c>
      <c r="Q43" s="5" t="s">
        <v>27</v>
      </c>
    </row>
    <row r="44" spans="1:17" ht="58.05" customHeight="1" x14ac:dyDescent="0.3">
      <c r="A44" s="5">
        <v>42</v>
      </c>
      <c r="B44" s="6" t="s">
        <v>265</v>
      </c>
      <c r="C44" s="5">
        <v>2021</v>
      </c>
      <c r="D44" s="6" t="s">
        <v>266</v>
      </c>
      <c r="E44" s="7" t="s">
        <v>267</v>
      </c>
      <c r="F44" s="6" t="s">
        <v>38</v>
      </c>
      <c r="G44" s="6" t="s">
        <v>62</v>
      </c>
      <c r="H44" s="8" t="s">
        <v>49</v>
      </c>
      <c r="I44" s="5" t="s">
        <v>27</v>
      </c>
      <c r="J44" s="6" t="s">
        <v>28</v>
      </c>
      <c r="K44" s="5" t="s">
        <v>27</v>
      </c>
      <c r="L44" s="6" t="s">
        <v>28</v>
      </c>
      <c r="M44" s="6" t="s">
        <v>31</v>
      </c>
      <c r="N44" s="6" t="s">
        <v>268</v>
      </c>
      <c r="O44" s="6" t="s">
        <v>52</v>
      </c>
      <c r="P44" s="5" t="s">
        <v>34</v>
      </c>
      <c r="Q44" s="5" t="s">
        <v>27</v>
      </c>
    </row>
    <row r="45" spans="1:17" ht="44.55" customHeight="1" x14ac:dyDescent="0.3">
      <c r="A45" s="5">
        <v>43</v>
      </c>
      <c r="B45" s="6" t="s">
        <v>269</v>
      </c>
      <c r="C45" s="5">
        <v>2021</v>
      </c>
      <c r="D45" s="6" t="s">
        <v>270</v>
      </c>
      <c r="E45" s="7" t="s">
        <v>271</v>
      </c>
      <c r="F45" s="6" t="s">
        <v>85</v>
      </c>
      <c r="G45" s="6" t="s">
        <v>62</v>
      </c>
      <c r="H45" s="8" t="s">
        <v>154</v>
      </c>
      <c r="I45" s="5" t="s">
        <v>27</v>
      </c>
      <c r="J45" s="6" t="s">
        <v>28</v>
      </c>
      <c r="K45" s="5" t="s">
        <v>65</v>
      </c>
      <c r="L45" s="6" t="s">
        <v>28</v>
      </c>
      <c r="M45" s="6" t="s">
        <v>73</v>
      </c>
      <c r="N45" s="6" t="s">
        <v>272</v>
      </c>
      <c r="O45" s="6" t="s">
        <v>273</v>
      </c>
      <c r="P45" s="5" t="s">
        <v>34</v>
      </c>
      <c r="Q45" s="5" t="s">
        <v>27</v>
      </c>
    </row>
    <row r="46" spans="1:17" ht="44.55" customHeight="1" x14ac:dyDescent="0.3">
      <c r="A46" s="5">
        <v>44</v>
      </c>
      <c r="B46" s="6" t="s">
        <v>274</v>
      </c>
      <c r="C46" s="5">
        <v>2023</v>
      </c>
      <c r="D46" s="6" t="s">
        <v>275</v>
      </c>
      <c r="E46" s="7" t="s">
        <v>276</v>
      </c>
      <c r="F46" s="6" t="s">
        <v>24</v>
      </c>
      <c r="G46" s="6" t="s">
        <v>277</v>
      </c>
      <c r="H46" s="8" t="s">
        <v>40</v>
      </c>
      <c r="I46" s="5" t="s">
        <v>29</v>
      </c>
      <c r="J46" s="6" t="s">
        <v>278</v>
      </c>
      <c r="K46" s="5" t="s">
        <v>27</v>
      </c>
      <c r="L46" s="6" t="s">
        <v>28</v>
      </c>
      <c r="M46" s="6" t="s">
        <v>67</v>
      </c>
      <c r="N46" s="6" t="s">
        <v>173</v>
      </c>
      <c r="O46" s="6" t="s">
        <v>279</v>
      </c>
      <c r="P46" s="5" t="s">
        <v>34</v>
      </c>
      <c r="Q46" s="5" t="s">
        <v>27</v>
      </c>
    </row>
    <row r="47" spans="1:17" ht="44.55" customHeight="1" x14ac:dyDescent="0.3">
      <c r="A47" s="5">
        <v>45</v>
      </c>
      <c r="B47" s="6" t="s">
        <v>280</v>
      </c>
      <c r="C47" s="5">
        <v>2023</v>
      </c>
      <c r="D47" s="6" t="s">
        <v>281</v>
      </c>
      <c r="E47" s="7" t="s">
        <v>282</v>
      </c>
      <c r="F47" s="6" t="s">
        <v>38</v>
      </c>
      <c r="G47" s="6" t="s">
        <v>101</v>
      </c>
      <c r="H47" s="8" t="s">
        <v>40</v>
      </c>
      <c r="I47" s="5" t="s">
        <v>29</v>
      </c>
      <c r="J47" s="6" t="s">
        <v>283</v>
      </c>
      <c r="K47" s="5" t="s">
        <v>27</v>
      </c>
      <c r="L47" s="6" t="s">
        <v>28</v>
      </c>
      <c r="M47" s="6" t="s">
        <v>31</v>
      </c>
      <c r="N47" s="6" t="s">
        <v>284</v>
      </c>
      <c r="O47" s="6" t="s">
        <v>285</v>
      </c>
      <c r="P47" s="5" t="s">
        <v>34</v>
      </c>
      <c r="Q47" s="5" t="s">
        <v>27</v>
      </c>
    </row>
    <row r="48" spans="1:17" ht="58.05" customHeight="1" x14ac:dyDescent="0.3">
      <c r="A48" s="5">
        <v>46</v>
      </c>
      <c r="B48" s="6" t="s">
        <v>286</v>
      </c>
      <c r="C48" s="5">
        <v>2018</v>
      </c>
      <c r="D48" s="6" t="s">
        <v>287</v>
      </c>
      <c r="E48" s="7" t="s">
        <v>288</v>
      </c>
      <c r="F48" s="6" t="s">
        <v>85</v>
      </c>
      <c r="G48" s="6" t="s">
        <v>289</v>
      </c>
      <c r="H48" s="8" t="s">
        <v>49</v>
      </c>
      <c r="I48" s="5" t="s">
        <v>27</v>
      </c>
      <c r="J48" s="6" t="s">
        <v>28</v>
      </c>
      <c r="K48" s="5" t="s">
        <v>27</v>
      </c>
      <c r="L48" s="6" t="s">
        <v>28</v>
      </c>
      <c r="M48" s="6" t="s">
        <v>290</v>
      </c>
      <c r="N48" s="6" t="s">
        <v>291</v>
      </c>
      <c r="O48" s="6" t="s">
        <v>292</v>
      </c>
      <c r="P48" s="5" t="s">
        <v>34</v>
      </c>
      <c r="Q48" s="5" t="s">
        <v>27</v>
      </c>
    </row>
    <row r="49" spans="1:17" ht="31.05" customHeight="1" x14ac:dyDescent="0.3">
      <c r="A49" s="5">
        <v>47</v>
      </c>
      <c r="B49" s="6" t="s">
        <v>293</v>
      </c>
      <c r="C49" s="5">
        <v>2020</v>
      </c>
      <c r="D49" s="6" t="s">
        <v>294</v>
      </c>
      <c r="E49" s="7" t="s">
        <v>295</v>
      </c>
      <c r="F49" s="6" t="s">
        <v>38</v>
      </c>
      <c r="G49" s="6" t="s">
        <v>296</v>
      </c>
      <c r="H49" s="8" t="s">
        <v>49</v>
      </c>
      <c r="I49" s="5" t="s">
        <v>27</v>
      </c>
      <c r="J49" s="6" t="s">
        <v>28</v>
      </c>
      <c r="K49" s="5" t="s">
        <v>27</v>
      </c>
      <c r="L49" s="6" t="s">
        <v>28</v>
      </c>
      <c r="M49" s="6" t="s">
        <v>50</v>
      </c>
      <c r="N49" s="6" t="s">
        <v>213</v>
      </c>
      <c r="O49" s="6" t="s">
        <v>193</v>
      </c>
      <c r="P49" s="5" t="s">
        <v>34</v>
      </c>
      <c r="Q49" s="5" t="s">
        <v>27</v>
      </c>
    </row>
    <row r="50" spans="1:17" ht="44.55" customHeight="1" x14ac:dyDescent="0.3">
      <c r="A50" s="5">
        <v>48</v>
      </c>
      <c r="B50" s="6" t="s">
        <v>297</v>
      </c>
      <c r="C50" s="5">
        <v>2017</v>
      </c>
      <c r="D50" s="6" t="s">
        <v>298</v>
      </c>
      <c r="E50" s="7" t="s">
        <v>299</v>
      </c>
      <c r="F50" s="6" t="s">
        <v>85</v>
      </c>
      <c r="G50" s="6" t="s">
        <v>25</v>
      </c>
      <c r="H50" s="8" t="s">
        <v>40</v>
      </c>
      <c r="I50" s="5" t="s">
        <v>29</v>
      </c>
      <c r="J50" s="6" t="s">
        <v>300</v>
      </c>
      <c r="K50" s="5" t="s">
        <v>27</v>
      </c>
      <c r="L50" s="6" t="s">
        <v>28</v>
      </c>
      <c r="M50" s="6" t="s">
        <v>67</v>
      </c>
      <c r="N50" s="6" t="s">
        <v>301</v>
      </c>
      <c r="O50" s="6" t="s">
        <v>302</v>
      </c>
      <c r="P50" s="5" t="s">
        <v>34</v>
      </c>
      <c r="Q50" s="5" t="s">
        <v>27</v>
      </c>
    </row>
    <row r="51" spans="1:17" ht="44.55" customHeight="1" x14ac:dyDescent="0.3">
      <c r="A51" s="5">
        <v>49</v>
      </c>
      <c r="B51" s="6" t="s">
        <v>303</v>
      </c>
      <c r="C51" s="5">
        <v>2025</v>
      </c>
      <c r="D51" s="6" t="s">
        <v>304</v>
      </c>
      <c r="E51" s="7" t="s">
        <v>305</v>
      </c>
      <c r="F51" s="6" t="s">
        <v>38</v>
      </c>
      <c r="G51" s="6" t="s">
        <v>39</v>
      </c>
      <c r="H51" s="8" t="s">
        <v>40</v>
      </c>
      <c r="I51" s="5" t="s">
        <v>29</v>
      </c>
      <c r="J51" s="6" t="s">
        <v>202</v>
      </c>
      <c r="K51" s="5" t="s">
        <v>27</v>
      </c>
      <c r="L51" s="6" t="s">
        <v>28</v>
      </c>
      <c r="M51" s="6" t="s">
        <v>31</v>
      </c>
      <c r="N51" s="6" t="s">
        <v>306</v>
      </c>
      <c r="O51" s="6" t="s">
        <v>307</v>
      </c>
      <c r="P51" s="5" t="s">
        <v>34</v>
      </c>
      <c r="Q51" s="5" t="s">
        <v>27</v>
      </c>
    </row>
    <row r="52" spans="1:17" ht="44.55" customHeight="1" x14ac:dyDescent="0.3">
      <c r="A52" s="5">
        <v>50</v>
      </c>
      <c r="B52" s="6" t="s">
        <v>308</v>
      </c>
      <c r="C52" s="5">
        <v>2016</v>
      </c>
      <c r="D52" s="6" t="s">
        <v>309</v>
      </c>
      <c r="E52" s="7" t="s">
        <v>310</v>
      </c>
      <c r="F52" s="6" t="s">
        <v>24</v>
      </c>
      <c r="G52" s="6" t="s">
        <v>101</v>
      </c>
      <c r="H52" s="8" t="s">
        <v>49</v>
      </c>
      <c r="I52" s="5" t="s">
        <v>27</v>
      </c>
      <c r="J52" s="6" t="s">
        <v>28</v>
      </c>
      <c r="K52" s="5" t="s">
        <v>27</v>
      </c>
      <c r="L52" s="6" t="s">
        <v>28</v>
      </c>
      <c r="M52" s="6" t="s">
        <v>31</v>
      </c>
      <c r="N52" s="6" t="s">
        <v>311</v>
      </c>
      <c r="O52" s="6" t="s">
        <v>312</v>
      </c>
      <c r="P52" s="5" t="s">
        <v>34</v>
      </c>
      <c r="Q52" s="5" t="s">
        <v>27</v>
      </c>
    </row>
    <row r="53" spans="1:17" ht="31.05" customHeight="1" x14ac:dyDescent="0.3">
      <c r="A53" s="5">
        <v>51</v>
      </c>
      <c r="B53" s="6" t="s">
        <v>313</v>
      </c>
      <c r="C53" s="5">
        <v>2020</v>
      </c>
      <c r="D53" s="6" t="s">
        <v>314</v>
      </c>
      <c r="E53" s="7" t="s">
        <v>315</v>
      </c>
      <c r="F53" s="6" t="s">
        <v>38</v>
      </c>
      <c r="G53" s="6" t="s">
        <v>62</v>
      </c>
      <c r="H53" s="8" t="s">
        <v>49</v>
      </c>
      <c r="I53" s="5" t="s">
        <v>27</v>
      </c>
      <c r="J53" s="6" t="s">
        <v>28</v>
      </c>
      <c r="K53" s="5" t="s">
        <v>27</v>
      </c>
      <c r="L53" s="6" t="s">
        <v>28</v>
      </c>
      <c r="M53" s="6" t="s">
        <v>31</v>
      </c>
      <c r="N53" s="6" t="s">
        <v>316</v>
      </c>
      <c r="O53" s="6" t="s">
        <v>317</v>
      </c>
      <c r="P53" s="5" t="s">
        <v>34</v>
      </c>
      <c r="Q53" s="5" t="s">
        <v>27</v>
      </c>
    </row>
    <row r="54" spans="1:17" ht="71.55" customHeight="1" x14ac:dyDescent="0.3">
      <c r="A54" s="5">
        <v>52</v>
      </c>
      <c r="B54" s="6" t="s">
        <v>318</v>
      </c>
      <c r="C54" s="5">
        <v>2018</v>
      </c>
      <c r="D54" s="6" t="s">
        <v>319</v>
      </c>
      <c r="E54" s="7" t="s">
        <v>320</v>
      </c>
      <c r="F54" s="6" t="s">
        <v>321</v>
      </c>
      <c r="G54" s="6" t="s">
        <v>322</v>
      </c>
      <c r="H54" s="8" t="s">
        <v>40</v>
      </c>
      <c r="I54" s="5" t="s">
        <v>29</v>
      </c>
      <c r="J54" s="6" t="s">
        <v>64</v>
      </c>
      <c r="K54" s="5" t="s">
        <v>27</v>
      </c>
      <c r="L54" s="6" t="s">
        <v>28</v>
      </c>
      <c r="M54" s="6" t="s">
        <v>31</v>
      </c>
      <c r="N54" s="6" t="s">
        <v>323</v>
      </c>
      <c r="O54" s="6" t="s">
        <v>324</v>
      </c>
      <c r="P54" s="5" t="s">
        <v>34</v>
      </c>
      <c r="Q54" s="5" t="s">
        <v>27</v>
      </c>
    </row>
    <row r="55" spans="1:17" ht="44.55" customHeight="1" x14ac:dyDescent="0.3">
      <c r="A55" s="5">
        <v>53</v>
      </c>
      <c r="B55" s="6" t="s">
        <v>325</v>
      </c>
      <c r="C55" s="5">
        <v>2024</v>
      </c>
      <c r="D55" s="6" t="s">
        <v>326</v>
      </c>
      <c r="E55" s="7" t="s">
        <v>327</v>
      </c>
      <c r="F55" s="6" t="s">
        <v>321</v>
      </c>
      <c r="G55" s="6" t="s">
        <v>56</v>
      </c>
      <c r="H55" s="8" t="s">
        <v>40</v>
      </c>
      <c r="I55" s="5" t="s">
        <v>29</v>
      </c>
      <c r="J55" s="6" t="s">
        <v>202</v>
      </c>
      <c r="K55" s="5" t="s">
        <v>27</v>
      </c>
      <c r="L55" s="6" t="s">
        <v>28</v>
      </c>
      <c r="M55" s="6" t="s">
        <v>328</v>
      </c>
      <c r="N55" s="6" t="s">
        <v>329</v>
      </c>
      <c r="O55" s="6" t="s">
        <v>330</v>
      </c>
      <c r="P55" s="5" t="s">
        <v>34</v>
      </c>
      <c r="Q55" s="5" t="s">
        <v>27</v>
      </c>
    </row>
    <row r="56" spans="1:17" ht="31.05" customHeight="1" x14ac:dyDescent="0.3">
      <c r="A56" s="5">
        <v>54</v>
      </c>
      <c r="B56" s="6" t="s">
        <v>331</v>
      </c>
      <c r="C56" s="5">
        <v>2022</v>
      </c>
      <c r="D56" s="6" t="s">
        <v>332</v>
      </c>
      <c r="E56" s="7" t="s">
        <v>333</v>
      </c>
      <c r="F56" s="6" t="s">
        <v>38</v>
      </c>
      <c r="G56" s="6" t="s">
        <v>62</v>
      </c>
      <c r="H56" s="8" t="s">
        <v>40</v>
      </c>
      <c r="I56" s="5" t="s">
        <v>29</v>
      </c>
      <c r="J56" s="6" t="s">
        <v>64</v>
      </c>
      <c r="K56" s="5" t="s">
        <v>27</v>
      </c>
      <c r="L56" s="6" t="s">
        <v>28</v>
      </c>
      <c r="M56" s="6" t="s">
        <v>67</v>
      </c>
      <c r="N56" s="6" t="s">
        <v>334</v>
      </c>
      <c r="O56" s="6" t="s">
        <v>335</v>
      </c>
      <c r="P56" s="5" t="s">
        <v>34</v>
      </c>
      <c r="Q56" s="5" t="s">
        <v>27</v>
      </c>
    </row>
    <row r="57" spans="1:17" ht="58.05" customHeight="1" x14ac:dyDescent="0.3">
      <c r="A57" s="5">
        <v>55</v>
      </c>
      <c r="B57" s="6" t="s">
        <v>336</v>
      </c>
      <c r="C57" s="5">
        <v>2023</v>
      </c>
      <c r="D57" s="6" t="s">
        <v>337</v>
      </c>
      <c r="E57" s="7" t="s">
        <v>338</v>
      </c>
      <c r="F57" s="6" t="s">
        <v>38</v>
      </c>
      <c r="G57" s="6" t="s">
        <v>62</v>
      </c>
      <c r="H57" s="8" t="s">
        <v>40</v>
      </c>
      <c r="I57" s="5" t="s">
        <v>29</v>
      </c>
      <c r="J57" s="6" t="s">
        <v>339</v>
      </c>
      <c r="K57" s="5" t="s">
        <v>27</v>
      </c>
      <c r="L57" s="6" t="s">
        <v>28</v>
      </c>
      <c r="M57" s="6" t="s">
        <v>42</v>
      </c>
      <c r="N57" s="6" t="s">
        <v>340</v>
      </c>
      <c r="O57" s="6" t="s">
        <v>52</v>
      </c>
      <c r="P57" s="5" t="s">
        <v>34</v>
      </c>
      <c r="Q57" s="5" t="s">
        <v>27</v>
      </c>
    </row>
    <row r="58" spans="1:17" ht="44.55" customHeight="1" x14ac:dyDescent="0.3">
      <c r="A58" s="5">
        <v>56</v>
      </c>
      <c r="B58" s="6" t="s">
        <v>341</v>
      </c>
      <c r="C58" s="5">
        <v>2023</v>
      </c>
      <c r="D58" s="6" t="s">
        <v>342</v>
      </c>
      <c r="E58" s="7" t="s">
        <v>343</v>
      </c>
      <c r="F58" s="6" t="s">
        <v>85</v>
      </c>
      <c r="G58" s="6" t="s">
        <v>344</v>
      </c>
      <c r="H58" s="8" t="s">
        <v>49</v>
      </c>
      <c r="I58" s="5" t="s">
        <v>27</v>
      </c>
      <c r="J58" s="6" t="s">
        <v>28</v>
      </c>
      <c r="K58" s="5" t="s">
        <v>27</v>
      </c>
      <c r="L58" s="6" t="s">
        <v>28</v>
      </c>
      <c r="M58" s="6" t="s">
        <v>345</v>
      </c>
      <c r="N58" s="6" t="s">
        <v>173</v>
      </c>
      <c r="O58" s="6" t="s">
        <v>346</v>
      </c>
      <c r="P58" s="5" t="s">
        <v>34</v>
      </c>
      <c r="Q58" s="5" t="s">
        <v>27</v>
      </c>
    </row>
    <row r="59" spans="1:17" ht="31.05" customHeight="1" x14ac:dyDescent="0.3">
      <c r="A59" s="5">
        <v>57</v>
      </c>
      <c r="B59" s="6" t="s">
        <v>347</v>
      </c>
      <c r="C59" s="5">
        <v>2021</v>
      </c>
      <c r="D59" s="6" t="s">
        <v>348</v>
      </c>
      <c r="E59" s="7" t="s">
        <v>349</v>
      </c>
      <c r="F59" s="6" t="s">
        <v>38</v>
      </c>
      <c r="G59" s="6" t="s">
        <v>101</v>
      </c>
      <c r="H59" s="8" t="s">
        <v>40</v>
      </c>
      <c r="I59" s="5" t="s">
        <v>29</v>
      </c>
      <c r="J59" s="6" t="s">
        <v>350</v>
      </c>
      <c r="K59" s="5" t="s">
        <v>27</v>
      </c>
      <c r="L59" s="6" t="s">
        <v>28</v>
      </c>
      <c r="M59" s="6" t="s">
        <v>31</v>
      </c>
      <c r="N59" s="6" t="s">
        <v>173</v>
      </c>
      <c r="O59" s="6" t="s">
        <v>351</v>
      </c>
      <c r="P59" s="5" t="s">
        <v>34</v>
      </c>
      <c r="Q59" s="5" t="s">
        <v>27</v>
      </c>
    </row>
    <row r="60" spans="1:17" ht="44.55" customHeight="1" x14ac:dyDescent="0.3">
      <c r="A60" s="5">
        <v>58</v>
      </c>
      <c r="B60" s="6" t="s">
        <v>347</v>
      </c>
      <c r="C60" s="5">
        <v>2022</v>
      </c>
      <c r="D60" s="6" t="s">
        <v>352</v>
      </c>
      <c r="E60" s="7" t="s">
        <v>353</v>
      </c>
      <c r="F60" s="6" t="s">
        <v>38</v>
      </c>
      <c r="G60" s="6" t="s">
        <v>101</v>
      </c>
      <c r="H60" s="8" t="s">
        <v>40</v>
      </c>
      <c r="I60" s="5" t="s">
        <v>29</v>
      </c>
      <c r="J60" s="6" t="s">
        <v>350</v>
      </c>
      <c r="K60" s="5" t="s">
        <v>27</v>
      </c>
      <c r="L60" s="6" t="s">
        <v>28</v>
      </c>
      <c r="M60" s="6" t="s">
        <v>31</v>
      </c>
      <c r="N60" s="6" t="s">
        <v>173</v>
      </c>
      <c r="O60" s="6" t="s">
        <v>354</v>
      </c>
      <c r="P60" s="5" t="s">
        <v>34</v>
      </c>
      <c r="Q60" s="5" t="s">
        <v>27</v>
      </c>
    </row>
    <row r="61" spans="1:17" ht="44.55" customHeight="1" x14ac:dyDescent="0.3">
      <c r="A61" s="5">
        <v>59</v>
      </c>
      <c r="B61" s="6" t="s">
        <v>355</v>
      </c>
      <c r="C61" s="5">
        <v>2023</v>
      </c>
      <c r="D61" s="6" t="s">
        <v>356</v>
      </c>
      <c r="E61" s="7" t="s">
        <v>357</v>
      </c>
      <c r="F61" s="6" t="s">
        <v>321</v>
      </c>
      <c r="G61" s="6" t="s">
        <v>358</v>
      </c>
      <c r="H61" s="8" t="s">
        <v>49</v>
      </c>
      <c r="I61" s="5" t="s">
        <v>27</v>
      </c>
      <c r="J61" s="6" t="s">
        <v>28</v>
      </c>
      <c r="K61" s="5" t="s">
        <v>27</v>
      </c>
      <c r="L61" s="6" t="s">
        <v>28</v>
      </c>
      <c r="M61" s="6" t="s">
        <v>79</v>
      </c>
      <c r="N61" s="6" t="s">
        <v>359</v>
      </c>
      <c r="O61" s="6" t="s">
        <v>360</v>
      </c>
      <c r="P61" s="5" t="s">
        <v>34</v>
      </c>
      <c r="Q61" s="5" t="s">
        <v>27</v>
      </c>
    </row>
    <row r="62" spans="1:17" ht="31.05" customHeight="1" x14ac:dyDescent="0.3">
      <c r="A62" s="5">
        <v>60</v>
      </c>
      <c r="B62" s="6" t="s">
        <v>361</v>
      </c>
      <c r="C62" s="5">
        <v>2022</v>
      </c>
      <c r="D62" s="6" t="s">
        <v>362</v>
      </c>
      <c r="E62" s="7" t="s">
        <v>363</v>
      </c>
      <c r="F62" s="6" t="s">
        <v>38</v>
      </c>
      <c r="G62" s="6" t="s">
        <v>364</v>
      </c>
      <c r="H62" s="8" t="s">
        <v>49</v>
      </c>
      <c r="I62" s="5" t="s">
        <v>27</v>
      </c>
      <c r="J62" s="6" t="s">
        <v>28</v>
      </c>
      <c r="K62" s="5" t="s">
        <v>27</v>
      </c>
      <c r="L62" s="6" t="s">
        <v>28</v>
      </c>
      <c r="M62" s="6" t="s">
        <v>79</v>
      </c>
      <c r="N62" s="6" t="s">
        <v>301</v>
      </c>
      <c r="O62" s="6" t="s">
        <v>52</v>
      </c>
      <c r="P62" s="5" t="s">
        <v>34</v>
      </c>
      <c r="Q62" s="5" t="s">
        <v>27</v>
      </c>
    </row>
    <row r="63" spans="1:17" ht="71.55" customHeight="1" x14ac:dyDescent="0.3">
      <c r="A63" s="5">
        <v>61</v>
      </c>
      <c r="B63" s="6" t="s">
        <v>365</v>
      </c>
      <c r="C63" s="5">
        <v>2024</v>
      </c>
      <c r="D63" s="6" t="s">
        <v>366</v>
      </c>
      <c r="E63" s="7" t="s">
        <v>367</v>
      </c>
      <c r="F63" s="6" t="s">
        <v>38</v>
      </c>
      <c r="G63" s="6" t="s">
        <v>28</v>
      </c>
      <c r="H63" s="8" t="s">
        <v>49</v>
      </c>
      <c r="I63" s="5" t="s">
        <v>27</v>
      </c>
      <c r="J63" s="6" t="s">
        <v>28</v>
      </c>
      <c r="K63" s="5" t="s">
        <v>27</v>
      </c>
      <c r="L63" s="6" t="s">
        <v>28</v>
      </c>
      <c r="M63" s="6" t="s">
        <v>31</v>
      </c>
      <c r="N63" s="6" t="s">
        <v>368</v>
      </c>
      <c r="O63" s="6" t="s">
        <v>369</v>
      </c>
      <c r="P63" s="5" t="s">
        <v>34</v>
      </c>
      <c r="Q63" s="5" t="s">
        <v>27</v>
      </c>
    </row>
    <row r="64" spans="1:17" ht="44.55" customHeight="1" x14ac:dyDescent="0.3">
      <c r="A64" s="5">
        <v>62</v>
      </c>
      <c r="B64" s="6" t="s">
        <v>370</v>
      </c>
      <c r="C64" s="5">
        <v>2019</v>
      </c>
      <c r="D64" s="6" t="s">
        <v>371</v>
      </c>
      <c r="E64" s="7" t="s">
        <v>372</v>
      </c>
      <c r="F64" s="6" t="s">
        <v>38</v>
      </c>
      <c r="G64" s="6" t="s">
        <v>373</v>
      </c>
      <c r="H64" s="8" t="s">
        <v>49</v>
      </c>
      <c r="I64" s="5" t="s">
        <v>27</v>
      </c>
      <c r="J64" s="6" t="s">
        <v>28</v>
      </c>
      <c r="K64" s="5" t="s">
        <v>27</v>
      </c>
      <c r="L64" s="6" t="s">
        <v>28</v>
      </c>
      <c r="M64" s="6" t="s">
        <v>31</v>
      </c>
      <c r="N64" s="6" t="s">
        <v>374</v>
      </c>
      <c r="O64" s="6" t="s">
        <v>375</v>
      </c>
      <c r="P64" s="5" t="s">
        <v>34</v>
      </c>
      <c r="Q64" s="5" t="s">
        <v>27</v>
      </c>
    </row>
    <row r="65" spans="1:17" ht="44.55" customHeight="1" x14ac:dyDescent="0.3">
      <c r="A65" s="5">
        <v>63</v>
      </c>
      <c r="B65" s="6" t="s">
        <v>376</v>
      </c>
      <c r="C65" s="5">
        <v>2017</v>
      </c>
      <c r="D65" s="6" t="s">
        <v>377</v>
      </c>
      <c r="E65" s="7" t="s">
        <v>378</v>
      </c>
      <c r="F65" s="6" t="s">
        <v>38</v>
      </c>
      <c r="G65" s="6" t="s">
        <v>62</v>
      </c>
      <c r="H65" s="8" t="s">
        <v>40</v>
      </c>
      <c r="I65" s="5" t="s">
        <v>29</v>
      </c>
      <c r="J65" s="6" t="s">
        <v>191</v>
      </c>
      <c r="K65" s="5" t="s">
        <v>27</v>
      </c>
      <c r="L65" s="6" t="s">
        <v>28</v>
      </c>
      <c r="M65" s="6" t="s">
        <v>67</v>
      </c>
      <c r="N65" s="6" t="s">
        <v>213</v>
      </c>
      <c r="O65" s="6" t="s">
        <v>379</v>
      </c>
      <c r="P65" s="5" t="s">
        <v>34</v>
      </c>
      <c r="Q65" s="5" t="s">
        <v>27</v>
      </c>
    </row>
    <row r="66" spans="1:17" ht="31.05" customHeight="1" x14ac:dyDescent="0.3">
      <c r="A66" s="5">
        <v>64</v>
      </c>
      <c r="B66" s="6" t="s">
        <v>380</v>
      </c>
      <c r="C66" s="5">
        <v>2017</v>
      </c>
      <c r="D66" s="6" t="s">
        <v>381</v>
      </c>
      <c r="E66" s="7" t="s">
        <v>382</v>
      </c>
      <c r="F66" s="6" t="s">
        <v>85</v>
      </c>
      <c r="G66" s="6" t="s">
        <v>62</v>
      </c>
      <c r="H66" s="8" t="s">
        <v>49</v>
      </c>
      <c r="I66" s="5" t="s">
        <v>27</v>
      </c>
      <c r="J66" s="6" t="s">
        <v>28</v>
      </c>
      <c r="K66" s="5" t="s">
        <v>27</v>
      </c>
      <c r="L66" s="6" t="s">
        <v>28</v>
      </c>
      <c r="M66" s="6" t="s">
        <v>73</v>
      </c>
      <c r="N66" s="6" t="s">
        <v>383</v>
      </c>
      <c r="O66" s="6" t="s">
        <v>384</v>
      </c>
      <c r="P66" s="5" t="s">
        <v>34</v>
      </c>
      <c r="Q66" s="5" t="s">
        <v>27</v>
      </c>
    </row>
    <row r="67" spans="1:17" ht="31.05" customHeight="1" x14ac:dyDescent="0.3">
      <c r="A67" s="5">
        <v>65</v>
      </c>
      <c r="B67" s="6" t="s">
        <v>385</v>
      </c>
      <c r="C67" s="5">
        <v>2025</v>
      </c>
      <c r="D67" s="6" t="s">
        <v>386</v>
      </c>
      <c r="E67" s="7" t="s">
        <v>387</v>
      </c>
      <c r="F67" s="6" t="s">
        <v>38</v>
      </c>
      <c r="G67" s="6" t="s">
        <v>388</v>
      </c>
      <c r="H67" s="8" t="s">
        <v>49</v>
      </c>
      <c r="I67" s="5" t="s">
        <v>27</v>
      </c>
      <c r="J67" s="6" t="s">
        <v>28</v>
      </c>
      <c r="K67" s="5" t="s">
        <v>27</v>
      </c>
      <c r="L67" s="6" t="s">
        <v>28</v>
      </c>
      <c r="M67" s="6" t="s">
        <v>50</v>
      </c>
      <c r="N67" s="6" t="s">
        <v>173</v>
      </c>
      <c r="O67" s="6" t="s">
        <v>389</v>
      </c>
      <c r="P67" s="5" t="s">
        <v>34</v>
      </c>
      <c r="Q67" s="5" t="s">
        <v>27</v>
      </c>
    </row>
    <row r="68" spans="1:17" ht="44.55" customHeight="1" x14ac:dyDescent="0.3">
      <c r="A68" s="5">
        <v>66</v>
      </c>
      <c r="B68" s="6" t="s">
        <v>390</v>
      </c>
      <c r="C68" s="5">
        <v>2025</v>
      </c>
      <c r="D68" s="6" t="s">
        <v>391</v>
      </c>
      <c r="E68" s="7" t="s">
        <v>392</v>
      </c>
      <c r="F68" s="6" t="s">
        <v>321</v>
      </c>
      <c r="G68" s="6" t="s">
        <v>322</v>
      </c>
      <c r="H68" s="8" t="s">
        <v>49</v>
      </c>
      <c r="I68" s="5" t="s">
        <v>27</v>
      </c>
      <c r="J68" s="6" t="s">
        <v>28</v>
      </c>
      <c r="K68" s="5" t="s">
        <v>27</v>
      </c>
      <c r="L68" s="6" t="s">
        <v>28</v>
      </c>
      <c r="M68" s="6" t="s">
        <v>79</v>
      </c>
      <c r="N68" s="6" t="s">
        <v>57</v>
      </c>
      <c r="O68" s="6" t="s">
        <v>393</v>
      </c>
      <c r="P68" s="5" t="s">
        <v>34</v>
      </c>
      <c r="Q68" s="5" t="s">
        <v>27</v>
      </c>
    </row>
    <row r="69" spans="1:17" ht="44.55" customHeight="1" x14ac:dyDescent="0.3">
      <c r="A69" s="5">
        <v>67</v>
      </c>
      <c r="B69" s="6" t="s">
        <v>394</v>
      </c>
      <c r="C69" s="5">
        <v>2020</v>
      </c>
      <c r="D69" s="6" t="s">
        <v>395</v>
      </c>
      <c r="E69" s="7" t="s">
        <v>396</v>
      </c>
      <c r="F69" s="6" t="s">
        <v>38</v>
      </c>
      <c r="G69" s="6" t="s">
        <v>62</v>
      </c>
      <c r="H69" s="8" t="s">
        <v>40</v>
      </c>
      <c r="I69" s="5" t="s">
        <v>29</v>
      </c>
      <c r="J69" s="6" t="s">
        <v>202</v>
      </c>
      <c r="K69" s="5" t="s">
        <v>27</v>
      </c>
      <c r="L69" s="6" t="s">
        <v>28</v>
      </c>
      <c r="M69" s="6" t="s">
        <v>67</v>
      </c>
      <c r="N69" s="6" t="s">
        <v>397</v>
      </c>
      <c r="O69" s="6" t="s">
        <v>398</v>
      </c>
      <c r="P69" s="5" t="s">
        <v>34</v>
      </c>
      <c r="Q69" s="5" t="s">
        <v>27</v>
      </c>
    </row>
    <row r="70" spans="1:17" ht="58.05" customHeight="1" x14ac:dyDescent="0.3">
      <c r="A70" s="5">
        <v>68</v>
      </c>
      <c r="B70" s="6" t="s">
        <v>399</v>
      </c>
      <c r="C70" s="5">
        <v>2019</v>
      </c>
      <c r="D70" s="6" t="s">
        <v>400</v>
      </c>
      <c r="E70" s="7" t="s">
        <v>401</v>
      </c>
      <c r="F70" s="6" t="s">
        <v>85</v>
      </c>
      <c r="G70" s="6" t="s">
        <v>62</v>
      </c>
      <c r="H70" s="8" t="s">
        <v>40</v>
      </c>
      <c r="I70" s="5" t="s">
        <v>29</v>
      </c>
      <c r="J70" s="6" t="s">
        <v>202</v>
      </c>
      <c r="K70" s="5" t="s">
        <v>27</v>
      </c>
      <c r="L70" s="6" t="s">
        <v>28</v>
      </c>
      <c r="M70" s="6" t="s">
        <v>67</v>
      </c>
      <c r="N70" s="6" t="s">
        <v>291</v>
      </c>
      <c r="O70" s="6" t="s">
        <v>402</v>
      </c>
      <c r="P70" s="5" t="s">
        <v>34</v>
      </c>
      <c r="Q70" s="5" t="s">
        <v>27</v>
      </c>
    </row>
    <row r="71" spans="1:17" ht="44.55" customHeight="1" x14ac:dyDescent="0.3">
      <c r="A71" s="5">
        <v>69</v>
      </c>
      <c r="B71" s="6" t="s">
        <v>403</v>
      </c>
      <c r="C71" s="5">
        <v>2019</v>
      </c>
      <c r="D71" s="6" t="s">
        <v>404</v>
      </c>
      <c r="E71" s="7" t="s">
        <v>405</v>
      </c>
      <c r="F71" s="6" t="s">
        <v>38</v>
      </c>
      <c r="G71" s="6" t="s">
        <v>62</v>
      </c>
      <c r="H71" s="8" t="s">
        <v>49</v>
      </c>
      <c r="I71" s="5" t="s">
        <v>27</v>
      </c>
      <c r="J71" s="6" t="s">
        <v>28</v>
      </c>
      <c r="K71" s="5" t="s">
        <v>27</v>
      </c>
      <c r="L71" s="6" t="s">
        <v>28</v>
      </c>
      <c r="M71" s="6" t="s">
        <v>67</v>
      </c>
      <c r="N71" s="6" t="s">
        <v>406</v>
      </c>
      <c r="O71" s="6" t="s">
        <v>402</v>
      </c>
      <c r="P71" s="5" t="s">
        <v>34</v>
      </c>
      <c r="Q71" s="5" t="s">
        <v>27</v>
      </c>
    </row>
    <row r="72" spans="1:17" ht="44.55" customHeight="1" x14ac:dyDescent="0.3">
      <c r="A72" s="5">
        <v>70</v>
      </c>
      <c r="B72" s="6" t="s">
        <v>407</v>
      </c>
      <c r="C72" s="5">
        <v>2021</v>
      </c>
      <c r="D72" s="6" t="s">
        <v>408</v>
      </c>
      <c r="E72" s="7" t="s">
        <v>409</v>
      </c>
      <c r="F72" s="6" t="s">
        <v>85</v>
      </c>
      <c r="G72" s="6" t="s">
        <v>62</v>
      </c>
      <c r="H72" s="8" t="s">
        <v>49</v>
      </c>
      <c r="I72" s="5" t="s">
        <v>27</v>
      </c>
      <c r="J72" s="6" t="s">
        <v>28</v>
      </c>
      <c r="K72" s="5" t="s">
        <v>27</v>
      </c>
      <c r="L72" s="6" t="s">
        <v>28</v>
      </c>
      <c r="M72" s="6" t="s">
        <v>73</v>
      </c>
      <c r="N72" s="6" t="s">
        <v>197</v>
      </c>
      <c r="O72" s="6" t="s">
        <v>116</v>
      </c>
      <c r="P72" s="5" t="s">
        <v>34</v>
      </c>
      <c r="Q72" s="5" t="s">
        <v>27</v>
      </c>
    </row>
    <row r="73" spans="1:17" ht="31.05" customHeight="1" x14ac:dyDescent="0.3">
      <c r="A73" s="5">
        <v>71</v>
      </c>
      <c r="B73" s="6" t="s">
        <v>410</v>
      </c>
      <c r="C73" s="5">
        <v>2024</v>
      </c>
      <c r="D73" s="6" t="s">
        <v>411</v>
      </c>
      <c r="E73" s="7" t="s">
        <v>412</v>
      </c>
      <c r="F73" s="6" t="s">
        <v>38</v>
      </c>
      <c r="G73" s="6" t="s">
        <v>62</v>
      </c>
      <c r="H73" s="8" t="s">
        <v>49</v>
      </c>
      <c r="I73" s="5" t="s">
        <v>27</v>
      </c>
      <c r="J73" s="6" t="s">
        <v>28</v>
      </c>
      <c r="K73" s="5" t="s">
        <v>27</v>
      </c>
      <c r="L73" s="6" t="s">
        <v>28</v>
      </c>
      <c r="M73" s="6" t="s">
        <v>73</v>
      </c>
      <c r="N73" s="6" t="s">
        <v>413</v>
      </c>
      <c r="O73" s="6" t="s">
        <v>414</v>
      </c>
      <c r="P73" s="5" t="s">
        <v>34</v>
      </c>
      <c r="Q73" s="5" t="s">
        <v>27</v>
      </c>
    </row>
    <row r="74" spans="1:17" ht="44.55" customHeight="1" x14ac:dyDescent="0.3">
      <c r="A74" s="5">
        <v>72</v>
      </c>
      <c r="B74" s="6" t="s">
        <v>415</v>
      </c>
      <c r="C74" s="5">
        <v>2021</v>
      </c>
      <c r="D74" s="6" t="s">
        <v>416</v>
      </c>
      <c r="E74" s="7" t="s">
        <v>417</v>
      </c>
      <c r="F74" s="6" t="s">
        <v>38</v>
      </c>
      <c r="G74" s="6" t="s">
        <v>39</v>
      </c>
      <c r="H74" s="8" t="s">
        <v>49</v>
      </c>
      <c r="I74" s="5" t="s">
        <v>27</v>
      </c>
      <c r="J74" s="6" t="s">
        <v>28</v>
      </c>
      <c r="K74" s="5" t="s">
        <v>27</v>
      </c>
      <c r="L74" s="6" t="s">
        <v>28</v>
      </c>
      <c r="M74" s="6" t="s">
        <v>31</v>
      </c>
      <c r="N74" s="6" t="s">
        <v>418</v>
      </c>
      <c r="O74" s="6" t="s">
        <v>419</v>
      </c>
      <c r="P74" s="5" t="s">
        <v>34</v>
      </c>
      <c r="Q74" s="5" t="s">
        <v>27</v>
      </c>
    </row>
    <row r="75" spans="1:17" ht="44.55" customHeight="1" x14ac:dyDescent="0.3">
      <c r="A75" s="5">
        <v>73</v>
      </c>
      <c r="B75" s="6" t="s">
        <v>420</v>
      </c>
      <c r="C75" s="5">
        <v>2024</v>
      </c>
      <c r="D75" s="6" t="s">
        <v>421</v>
      </c>
      <c r="E75" s="7" t="s">
        <v>422</v>
      </c>
      <c r="F75" s="6" t="s">
        <v>38</v>
      </c>
      <c r="G75" s="6" t="s">
        <v>62</v>
      </c>
      <c r="H75" s="8" t="s">
        <v>49</v>
      </c>
      <c r="I75" s="5" t="s">
        <v>27</v>
      </c>
      <c r="J75" s="6" t="s">
        <v>28</v>
      </c>
      <c r="K75" s="5" t="s">
        <v>27</v>
      </c>
      <c r="L75" s="6" t="s">
        <v>28</v>
      </c>
      <c r="M75" s="6" t="s">
        <v>31</v>
      </c>
      <c r="N75" s="6" t="s">
        <v>423</v>
      </c>
      <c r="O75" s="6" t="s">
        <v>424</v>
      </c>
      <c r="P75" s="5" t="s">
        <v>34</v>
      </c>
      <c r="Q75" s="5" t="s">
        <v>27</v>
      </c>
    </row>
    <row r="76" spans="1:17" ht="31.05" customHeight="1" x14ac:dyDescent="0.3">
      <c r="A76" s="5">
        <v>74</v>
      </c>
      <c r="B76" s="6" t="s">
        <v>425</v>
      </c>
      <c r="C76" s="5">
        <v>2021</v>
      </c>
      <c r="D76" s="6" t="s">
        <v>426</v>
      </c>
      <c r="E76" s="7" t="s">
        <v>427</v>
      </c>
      <c r="F76" s="6" t="s">
        <v>38</v>
      </c>
      <c r="G76" s="6" t="s">
        <v>39</v>
      </c>
      <c r="H76" s="8" t="s">
        <v>49</v>
      </c>
      <c r="I76" s="5" t="s">
        <v>27</v>
      </c>
      <c r="J76" s="6" t="s">
        <v>28</v>
      </c>
      <c r="K76" s="5" t="s">
        <v>27</v>
      </c>
      <c r="L76" s="6" t="s">
        <v>28</v>
      </c>
      <c r="M76" s="6" t="s">
        <v>42</v>
      </c>
      <c r="N76" s="6" t="s">
        <v>428</v>
      </c>
      <c r="O76" s="6" t="s">
        <v>193</v>
      </c>
      <c r="P76" s="5" t="s">
        <v>34</v>
      </c>
      <c r="Q76" s="5" t="s">
        <v>27</v>
      </c>
    </row>
    <row r="77" spans="1:17" ht="58.05" customHeight="1" x14ac:dyDescent="0.3">
      <c r="A77" s="5">
        <v>75</v>
      </c>
      <c r="B77" s="6" t="s">
        <v>429</v>
      </c>
      <c r="C77" s="5">
        <v>2021</v>
      </c>
      <c r="D77" s="6" t="s">
        <v>430</v>
      </c>
      <c r="E77" s="7" t="s">
        <v>431</v>
      </c>
      <c r="F77" s="6" t="s">
        <v>38</v>
      </c>
      <c r="G77" s="6" t="s">
        <v>25</v>
      </c>
      <c r="H77" s="8" t="s">
        <v>49</v>
      </c>
      <c r="I77" s="5" t="s">
        <v>27</v>
      </c>
      <c r="J77" s="6" t="s">
        <v>28</v>
      </c>
      <c r="K77" s="5" t="s">
        <v>27</v>
      </c>
      <c r="L77" s="6" t="s">
        <v>28</v>
      </c>
      <c r="M77" s="6" t="s">
        <v>79</v>
      </c>
      <c r="N77" s="6" t="s">
        <v>432</v>
      </c>
      <c r="O77" s="6" t="s">
        <v>433</v>
      </c>
      <c r="P77" s="5" t="s">
        <v>34</v>
      </c>
      <c r="Q77" s="5" t="s">
        <v>27</v>
      </c>
    </row>
    <row r="78" spans="1:17" ht="31.05" customHeight="1" x14ac:dyDescent="0.3">
      <c r="A78" s="5">
        <v>76</v>
      </c>
      <c r="B78" s="6" t="s">
        <v>434</v>
      </c>
      <c r="C78" s="5">
        <v>2021</v>
      </c>
      <c r="D78" s="6" t="s">
        <v>435</v>
      </c>
      <c r="E78" s="7" t="s">
        <v>436</v>
      </c>
      <c r="F78" s="6" t="s">
        <v>85</v>
      </c>
      <c r="G78" s="6" t="s">
        <v>38</v>
      </c>
      <c r="H78" s="8" t="s">
        <v>49</v>
      </c>
      <c r="I78" s="5" t="s">
        <v>27</v>
      </c>
      <c r="J78" s="6" t="s">
        <v>28</v>
      </c>
      <c r="K78" s="5" t="s">
        <v>27</v>
      </c>
      <c r="L78" s="6" t="s">
        <v>28</v>
      </c>
      <c r="M78" s="6" t="s">
        <v>42</v>
      </c>
      <c r="N78" s="6" t="s">
        <v>437</v>
      </c>
      <c r="O78" s="6" t="s">
        <v>438</v>
      </c>
      <c r="P78" s="5" t="s">
        <v>34</v>
      </c>
      <c r="Q78" s="5" t="s">
        <v>27</v>
      </c>
    </row>
    <row r="79" spans="1:17" ht="58.05" customHeight="1" x14ac:dyDescent="0.3">
      <c r="A79" s="5">
        <v>77</v>
      </c>
      <c r="B79" s="6" t="s">
        <v>439</v>
      </c>
      <c r="C79" s="5">
        <v>2021</v>
      </c>
      <c r="D79" s="6" t="s">
        <v>440</v>
      </c>
      <c r="E79" s="7" t="s">
        <v>441</v>
      </c>
      <c r="F79" s="6" t="s">
        <v>38</v>
      </c>
      <c r="G79" s="6" t="s">
        <v>25</v>
      </c>
      <c r="H79" s="8" t="s">
        <v>40</v>
      </c>
      <c r="I79" s="5" t="s">
        <v>29</v>
      </c>
      <c r="J79" s="6" t="s">
        <v>64</v>
      </c>
      <c r="K79" s="5" t="s">
        <v>27</v>
      </c>
      <c r="L79" s="6" t="s">
        <v>28</v>
      </c>
      <c r="M79" s="6" t="s">
        <v>50</v>
      </c>
      <c r="N79" s="6" t="s">
        <v>442</v>
      </c>
      <c r="O79" s="6" t="s">
        <v>443</v>
      </c>
      <c r="P79" s="5" t="s">
        <v>34</v>
      </c>
      <c r="Q79" s="5" t="s">
        <v>27</v>
      </c>
    </row>
    <row r="80" spans="1:17" ht="71.55" customHeight="1" x14ac:dyDescent="0.3">
      <c r="A80" s="5">
        <v>78</v>
      </c>
      <c r="B80" s="6" t="s">
        <v>444</v>
      </c>
      <c r="C80" s="5">
        <v>2024</v>
      </c>
      <c r="D80" s="6" t="s">
        <v>445</v>
      </c>
      <c r="E80" s="7" t="s">
        <v>446</v>
      </c>
      <c r="F80" s="6" t="s">
        <v>38</v>
      </c>
      <c r="G80" s="6" t="s">
        <v>28</v>
      </c>
      <c r="H80" s="8" t="s">
        <v>26</v>
      </c>
      <c r="I80" s="5" t="s">
        <v>27</v>
      </c>
      <c r="J80" s="6" t="s">
        <v>28</v>
      </c>
      <c r="K80" s="5" t="s">
        <v>29</v>
      </c>
      <c r="L80" s="6" t="s">
        <v>447</v>
      </c>
      <c r="M80" s="6" t="s">
        <v>50</v>
      </c>
      <c r="N80" s="6" t="s">
        <v>448</v>
      </c>
      <c r="O80" s="6" t="s">
        <v>193</v>
      </c>
      <c r="P80" s="5" t="s">
        <v>34</v>
      </c>
      <c r="Q80" s="5" t="s">
        <v>27</v>
      </c>
    </row>
    <row r="81" spans="1:17" ht="44.55" customHeight="1" x14ac:dyDescent="0.3">
      <c r="A81" s="5">
        <v>79</v>
      </c>
      <c r="B81" s="6" t="s">
        <v>449</v>
      </c>
      <c r="C81" s="5">
        <v>2019</v>
      </c>
      <c r="D81" s="6" t="s">
        <v>450</v>
      </c>
      <c r="E81" s="7" t="s">
        <v>451</v>
      </c>
      <c r="F81" s="6" t="s">
        <v>321</v>
      </c>
      <c r="G81" s="6" t="s">
        <v>452</v>
      </c>
      <c r="H81" s="8" t="s">
        <v>49</v>
      </c>
      <c r="I81" s="5" t="s">
        <v>27</v>
      </c>
      <c r="J81" s="6" t="s">
        <v>28</v>
      </c>
      <c r="K81" s="5" t="s">
        <v>27</v>
      </c>
      <c r="L81" s="6" t="s">
        <v>28</v>
      </c>
      <c r="M81" s="6" t="s">
        <v>73</v>
      </c>
      <c r="N81" s="6" t="s">
        <v>213</v>
      </c>
      <c r="O81" s="6" t="s">
        <v>453</v>
      </c>
      <c r="P81" s="5" t="s">
        <v>34</v>
      </c>
      <c r="Q81" s="5" t="s">
        <v>27</v>
      </c>
    </row>
    <row r="82" spans="1:17" ht="44.55" customHeight="1" x14ac:dyDescent="0.3">
      <c r="A82" s="5">
        <v>80</v>
      </c>
      <c r="B82" s="6" t="s">
        <v>454</v>
      </c>
      <c r="C82" s="5">
        <v>2025</v>
      </c>
      <c r="D82" s="6" t="s">
        <v>455</v>
      </c>
      <c r="E82" s="7" t="s">
        <v>456</v>
      </c>
      <c r="F82" s="6" t="s">
        <v>321</v>
      </c>
      <c r="G82" s="6" t="s">
        <v>457</v>
      </c>
      <c r="H82" s="8" t="s">
        <v>40</v>
      </c>
      <c r="I82" s="5" t="s">
        <v>29</v>
      </c>
      <c r="J82" s="6" t="s">
        <v>458</v>
      </c>
      <c r="K82" s="5" t="s">
        <v>27</v>
      </c>
      <c r="L82" s="6" t="s">
        <v>28</v>
      </c>
      <c r="M82" s="6" t="s">
        <v>73</v>
      </c>
      <c r="N82" s="6" t="s">
        <v>92</v>
      </c>
      <c r="O82" s="6" t="s">
        <v>438</v>
      </c>
      <c r="P82" s="5" t="s">
        <v>34</v>
      </c>
      <c r="Q82" s="5" t="s">
        <v>27</v>
      </c>
    </row>
    <row r="83" spans="1:17" ht="44.55" customHeight="1" x14ac:dyDescent="0.3">
      <c r="A83" s="5">
        <v>81</v>
      </c>
      <c r="B83" s="6" t="s">
        <v>459</v>
      </c>
      <c r="C83" s="5">
        <v>2021</v>
      </c>
      <c r="D83" s="6" t="s">
        <v>460</v>
      </c>
      <c r="E83" s="7" t="s">
        <v>461</v>
      </c>
      <c r="F83" s="6" t="s">
        <v>38</v>
      </c>
      <c r="G83" s="6" t="s">
        <v>39</v>
      </c>
      <c r="H83" s="8" t="s">
        <v>49</v>
      </c>
      <c r="I83" s="5" t="s">
        <v>27</v>
      </c>
      <c r="J83" s="6" t="s">
        <v>28</v>
      </c>
      <c r="K83" s="5" t="s">
        <v>27</v>
      </c>
      <c r="L83" s="6" t="s">
        <v>28</v>
      </c>
      <c r="M83" s="6" t="s">
        <v>50</v>
      </c>
      <c r="N83" s="6" t="s">
        <v>462</v>
      </c>
      <c r="O83" s="6" t="s">
        <v>463</v>
      </c>
      <c r="P83" s="5" t="s">
        <v>34</v>
      </c>
      <c r="Q83" s="5" t="s">
        <v>27</v>
      </c>
    </row>
    <row r="84" spans="1:17" ht="44.55" customHeight="1" x14ac:dyDescent="0.3">
      <c r="A84" s="5">
        <v>82</v>
      </c>
      <c r="B84" s="6" t="s">
        <v>464</v>
      </c>
      <c r="C84" s="5">
        <v>2024</v>
      </c>
      <c r="D84" s="6" t="s">
        <v>465</v>
      </c>
      <c r="E84" s="7" t="s">
        <v>466</v>
      </c>
      <c r="F84" s="6" t="s">
        <v>38</v>
      </c>
      <c r="G84" s="6" t="s">
        <v>39</v>
      </c>
      <c r="H84" s="8" t="s">
        <v>40</v>
      </c>
      <c r="I84" s="5" t="s">
        <v>29</v>
      </c>
      <c r="J84" s="6" t="s">
        <v>191</v>
      </c>
      <c r="K84" s="5" t="s">
        <v>27</v>
      </c>
      <c r="L84" s="6" t="s">
        <v>28</v>
      </c>
      <c r="M84" s="6" t="s">
        <v>67</v>
      </c>
      <c r="N84" s="6" t="s">
        <v>467</v>
      </c>
      <c r="O84" s="6" t="s">
        <v>468</v>
      </c>
      <c r="P84" s="5" t="s">
        <v>34</v>
      </c>
      <c r="Q84" s="5" t="s">
        <v>27</v>
      </c>
    </row>
    <row r="85" spans="1:17" ht="31.05" customHeight="1" x14ac:dyDescent="0.3">
      <c r="A85" s="5">
        <v>83</v>
      </c>
      <c r="B85" s="6" t="s">
        <v>469</v>
      </c>
      <c r="C85" s="5">
        <v>2022</v>
      </c>
      <c r="D85" s="6" t="s">
        <v>470</v>
      </c>
      <c r="E85" s="7" t="s">
        <v>471</v>
      </c>
      <c r="F85" s="6" t="s">
        <v>38</v>
      </c>
      <c r="G85" s="6" t="s">
        <v>56</v>
      </c>
      <c r="H85" s="8" t="s">
        <v>40</v>
      </c>
      <c r="I85" s="5" t="s">
        <v>29</v>
      </c>
      <c r="J85" s="6" t="s">
        <v>64</v>
      </c>
      <c r="K85" s="5" t="s">
        <v>27</v>
      </c>
      <c r="L85" s="6" t="s">
        <v>28</v>
      </c>
      <c r="M85" s="6" t="s">
        <v>472</v>
      </c>
      <c r="N85" s="6" t="s">
        <v>473</v>
      </c>
      <c r="O85" s="6" t="s">
        <v>474</v>
      </c>
      <c r="P85" s="5" t="s">
        <v>34</v>
      </c>
      <c r="Q85" s="5" t="s">
        <v>27</v>
      </c>
    </row>
    <row r="86" spans="1:17" ht="31.05" customHeight="1" x14ac:dyDescent="0.3">
      <c r="A86" s="5">
        <v>84</v>
      </c>
      <c r="B86" s="6" t="s">
        <v>475</v>
      </c>
      <c r="C86" s="5">
        <v>2016</v>
      </c>
      <c r="D86" s="6" t="s">
        <v>476</v>
      </c>
      <c r="E86" s="7" t="s">
        <v>477</v>
      </c>
      <c r="F86" s="6" t="s">
        <v>38</v>
      </c>
      <c r="G86" s="6" t="s">
        <v>39</v>
      </c>
      <c r="H86" s="8" t="s">
        <v>49</v>
      </c>
      <c r="I86" s="5" t="s">
        <v>27</v>
      </c>
      <c r="J86" s="6" t="s">
        <v>28</v>
      </c>
      <c r="K86" s="5" t="s">
        <v>27</v>
      </c>
      <c r="L86" s="6" t="s">
        <v>28</v>
      </c>
      <c r="M86" s="6" t="s">
        <v>79</v>
      </c>
      <c r="N86" s="6" t="s">
        <v>68</v>
      </c>
      <c r="O86" s="6" t="s">
        <v>478</v>
      </c>
      <c r="P86" s="5" t="s">
        <v>34</v>
      </c>
      <c r="Q86" s="5" t="s">
        <v>27</v>
      </c>
    </row>
    <row r="87" spans="1:17" ht="44.55" customHeight="1" x14ac:dyDescent="0.3">
      <c r="A87" s="5">
        <v>85</v>
      </c>
      <c r="B87" s="6" t="s">
        <v>479</v>
      </c>
      <c r="C87" s="5">
        <v>2025</v>
      </c>
      <c r="D87" s="6" t="s">
        <v>480</v>
      </c>
      <c r="E87" s="7" t="s">
        <v>481</v>
      </c>
      <c r="F87" s="6" t="s">
        <v>38</v>
      </c>
      <c r="G87" s="6" t="s">
        <v>482</v>
      </c>
      <c r="H87" s="8" t="s">
        <v>49</v>
      </c>
      <c r="I87" s="5" t="s">
        <v>27</v>
      </c>
      <c r="J87" s="6" t="s">
        <v>28</v>
      </c>
      <c r="K87" s="5" t="s">
        <v>27</v>
      </c>
      <c r="L87" s="6" t="s">
        <v>28</v>
      </c>
      <c r="M87" s="6" t="s">
        <v>67</v>
      </c>
      <c r="N87" s="6" t="s">
        <v>483</v>
      </c>
      <c r="O87" s="6" t="s">
        <v>484</v>
      </c>
      <c r="P87" s="5" t="s">
        <v>34</v>
      </c>
      <c r="Q87" s="5" t="s">
        <v>27</v>
      </c>
    </row>
    <row r="88" spans="1:17" ht="44.55" customHeight="1" x14ac:dyDescent="0.3">
      <c r="A88" s="5">
        <v>86</v>
      </c>
      <c r="B88" s="6" t="s">
        <v>485</v>
      </c>
      <c r="C88" s="5">
        <v>2025</v>
      </c>
      <c r="D88" s="6" t="s">
        <v>486</v>
      </c>
      <c r="E88" s="7" t="s">
        <v>487</v>
      </c>
      <c r="F88" s="6" t="s">
        <v>38</v>
      </c>
      <c r="G88" s="6" t="s">
        <v>28</v>
      </c>
      <c r="H88" s="8" t="s">
        <v>49</v>
      </c>
      <c r="I88" s="5" t="s">
        <v>27</v>
      </c>
      <c r="J88" s="6" t="s">
        <v>28</v>
      </c>
      <c r="K88" s="5" t="s">
        <v>27</v>
      </c>
      <c r="L88" s="6" t="s">
        <v>28</v>
      </c>
      <c r="M88" s="6" t="s">
        <v>67</v>
      </c>
      <c r="N88" s="6" t="s">
        <v>51</v>
      </c>
      <c r="O88" s="6" t="s">
        <v>488</v>
      </c>
      <c r="P88" s="5" t="s">
        <v>34</v>
      </c>
      <c r="Q88" s="5" t="s">
        <v>27</v>
      </c>
    </row>
    <row r="89" spans="1:17" ht="31.05" customHeight="1" x14ac:dyDescent="0.3">
      <c r="A89" s="5">
        <v>87</v>
      </c>
      <c r="B89" s="6" t="s">
        <v>489</v>
      </c>
      <c r="C89" s="5">
        <v>2015</v>
      </c>
      <c r="D89" s="6" t="s">
        <v>490</v>
      </c>
      <c r="E89" s="7" t="s">
        <v>491</v>
      </c>
      <c r="F89" s="6" t="s">
        <v>24</v>
      </c>
      <c r="G89" s="6" t="s">
        <v>39</v>
      </c>
      <c r="H89" s="8" t="s">
        <v>40</v>
      </c>
      <c r="I89" s="5" t="s">
        <v>29</v>
      </c>
      <c r="J89" s="6" t="s">
        <v>155</v>
      </c>
      <c r="K89" s="5" t="s">
        <v>27</v>
      </c>
      <c r="L89" s="6" t="s">
        <v>28</v>
      </c>
      <c r="M89" s="6" t="s">
        <v>67</v>
      </c>
      <c r="N89" s="6" t="s">
        <v>492</v>
      </c>
      <c r="O89" s="6" t="s">
        <v>493</v>
      </c>
      <c r="P89" s="5" t="s">
        <v>34</v>
      </c>
      <c r="Q89" s="5" t="s">
        <v>27</v>
      </c>
    </row>
    <row r="90" spans="1:17" ht="44.55" customHeight="1" x14ac:dyDescent="0.3">
      <c r="A90" s="5">
        <v>88</v>
      </c>
      <c r="B90" s="6" t="s">
        <v>494</v>
      </c>
      <c r="C90" s="5">
        <v>2020</v>
      </c>
      <c r="D90" s="6" t="s">
        <v>495</v>
      </c>
      <c r="E90" s="7" t="s">
        <v>496</v>
      </c>
      <c r="F90" s="6" t="s">
        <v>38</v>
      </c>
      <c r="G90" s="6" t="s">
        <v>38</v>
      </c>
      <c r="H90" s="8" t="s">
        <v>49</v>
      </c>
      <c r="I90" s="5" t="s">
        <v>27</v>
      </c>
      <c r="J90" s="6" t="s">
        <v>28</v>
      </c>
      <c r="K90" s="5" t="s">
        <v>27</v>
      </c>
      <c r="L90" s="6" t="s">
        <v>28</v>
      </c>
      <c r="M90" s="6" t="s">
        <v>42</v>
      </c>
      <c r="N90" s="6" t="s">
        <v>197</v>
      </c>
      <c r="O90" s="6" t="s">
        <v>497</v>
      </c>
      <c r="P90" s="5" t="s">
        <v>34</v>
      </c>
      <c r="Q90" s="5" t="s">
        <v>27</v>
      </c>
    </row>
    <row r="91" spans="1:17" ht="31.05" customHeight="1" x14ac:dyDescent="0.3">
      <c r="A91" s="5">
        <v>89</v>
      </c>
      <c r="B91" s="6" t="s">
        <v>498</v>
      </c>
      <c r="C91" s="5">
        <v>2018</v>
      </c>
      <c r="D91" s="6" t="s">
        <v>499</v>
      </c>
      <c r="E91" s="7" t="s">
        <v>500</v>
      </c>
      <c r="F91" s="6" t="s">
        <v>24</v>
      </c>
      <c r="G91" s="6" t="s">
        <v>62</v>
      </c>
      <c r="H91" s="8" t="s">
        <v>49</v>
      </c>
      <c r="I91" s="5" t="s">
        <v>27</v>
      </c>
      <c r="J91" s="6" t="s">
        <v>28</v>
      </c>
      <c r="K91" s="5" t="s">
        <v>27</v>
      </c>
      <c r="L91" s="6" t="s">
        <v>28</v>
      </c>
      <c r="M91" s="6" t="s">
        <v>67</v>
      </c>
      <c r="N91" s="6" t="s">
        <v>501</v>
      </c>
      <c r="O91" s="6" t="s">
        <v>502</v>
      </c>
      <c r="P91" s="5" t="s">
        <v>34</v>
      </c>
      <c r="Q91" s="5" t="s">
        <v>27</v>
      </c>
    </row>
    <row r="92" spans="1:17" ht="44.55" customHeight="1" x14ac:dyDescent="0.3">
      <c r="A92" s="5">
        <v>90</v>
      </c>
      <c r="B92" s="6" t="s">
        <v>503</v>
      </c>
      <c r="C92" s="5">
        <v>2020</v>
      </c>
      <c r="D92" s="6" t="s">
        <v>504</v>
      </c>
      <c r="E92" s="7" t="s">
        <v>505</v>
      </c>
      <c r="F92" s="6" t="s">
        <v>38</v>
      </c>
      <c r="G92" s="6" t="s">
        <v>62</v>
      </c>
      <c r="H92" s="8" t="s">
        <v>154</v>
      </c>
      <c r="I92" s="5" t="s">
        <v>27</v>
      </c>
      <c r="J92" s="6" t="s">
        <v>28</v>
      </c>
      <c r="K92" s="5" t="s">
        <v>65</v>
      </c>
      <c r="L92" s="6" t="s">
        <v>28</v>
      </c>
      <c r="M92" s="6" t="s">
        <v>31</v>
      </c>
      <c r="N92" s="6" t="s">
        <v>506</v>
      </c>
      <c r="O92" s="6" t="s">
        <v>507</v>
      </c>
      <c r="P92" s="5" t="s">
        <v>34</v>
      </c>
      <c r="Q92" s="5" t="s">
        <v>27</v>
      </c>
    </row>
    <row r="93" spans="1:17" ht="31.05" customHeight="1" x14ac:dyDescent="0.3">
      <c r="A93" s="5">
        <v>91</v>
      </c>
      <c r="B93" s="6" t="s">
        <v>508</v>
      </c>
      <c r="C93" s="5">
        <v>2025</v>
      </c>
      <c r="D93" s="6" t="s">
        <v>509</v>
      </c>
      <c r="E93" s="7" t="s">
        <v>510</v>
      </c>
      <c r="F93" s="6" t="s">
        <v>243</v>
      </c>
      <c r="G93" s="6" t="s">
        <v>38</v>
      </c>
      <c r="H93" s="8" t="s">
        <v>49</v>
      </c>
      <c r="I93" s="5" t="s">
        <v>27</v>
      </c>
      <c r="J93" s="6" t="s">
        <v>28</v>
      </c>
      <c r="K93" s="5" t="s">
        <v>27</v>
      </c>
      <c r="L93" s="6" t="s">
        <v>28</v>
      </c>
      <c r="M93" s="6" t="s">
        <v>31</v>
      </c>
      <c r="N93" s="6" t="s">
        <v>108</v>
      </c>
      <c r="O93" s="6" t="s">
        <v>443</v>
      </c>
      <c r="P93" s="5" t="s">
        <v>34</v>
      </c>
      <c r="Q93" s="5" t="s">
        <v>27</v>
      </c>
    </row>
    <row r="94" spans="1:17" ht="44.55" customHeight="1" x14ac:dyDescent="0.3">
      <c r="A94" s="5">
        <v>92</v>
      </c>
      <c r="B94" s="6" t="s">
        <v>511</v>
      </c>
      <c r="C94" s="5">
        <v>2019</v>
      </c>
      <c r="D94" s="6" t="s">
        <v>512</v>
      </c>
      <c r="E94" s="7" t="s">
        <v>513</v>
      </c>
      <c r="F94" s="6" t="s">
        <v>321</v>
      </c>
      <c r="G94" s="6" t="s">
        <v>38</v>
      </c>
      <c r="H94" s="8" t="s">
        <v>40</v>
      </c>
      <c r="I94" s="5" t="s">
        <v>29</v>
      </c>
      <c r="J94" s="6" t="s">
        <v>155</v>
      </c>
      <c r="K94" s="5" t="s">
        <v>27</v>
      </c>
      <c r="L94" s="6" t="s">
        <v>28</v>
      </c>
      <c r="M94" s="6" t="s">
        <v>31</v>
      </c>
      <c r="N94" s="6" t="s">
        <v>514</v>
      </c>
      <c r="O94" s="6" t="s">
        <v>515</v>
      </c>
      <c r="P94" s="5" t="s">
        <v>34</v>
      </c>
      <c r="Q94" s="5" t="s">
        <v>27</v>
      </c>
    </row>
    <row r="95" spans="1:17" ht="44.55" customHeight="1" x14ac:dyDescent="0.3">
      <c r="A95" s="5">
        <v>93</v>
      </c>
      <c r="B95" s="6" t="s">
        <v>516</v>
      </c>
      <c r="C95" s="5">
        <v>2021</v>
      </c>
      <c r="D95" s="6" t="s">
        <v>517</v>
      </c>
      <c r="E95" s="7" t="s">
        <v>518</v>
      </c>
      <c r="F95" s="6" t="s">
        <v>321</v>
      </c>
      <c r="G95" s="6" t="s">
        <v>519</v>
      </c>
      <c r="H95" s="8" t="s">
        <v>49</v>
      </c>
      <c r="I95" s="5" t="s">
        <v>27</v>
      </c>
      <c r="J95" s="6" t="s">
        <v>28</v>
      </c>
      <c r="K95" s="5" t="s">
        <v>27</v>
      </c>
      <c r="L95" s="6" t="s">
        <v>28</v>
      </c>
      <c r="M95" s="6" t="s">
        <v>67</v>
      </c>
      <c r="N95" s="6" t="s">
        <v>423</v>
      </c>
      <c r="O95" s="6" t="s">
        <v>520</v>
      </c>
      <c r="P95" s="5" t="s">
        <v>34</v>
      </c>
      <c r="Q95" s="5" t="s">
        <v>29</v>
      </c>
    </row>
    <row r="96" spans="1:17" ht="44.55" customHeight="1" x14ac:dyDescent="0.3">
      <c r="A96" s="5">
        <v>94</v>
      </c>
      <c r="B96" s="6" t="s">
        <v>521</v>
      </c>
      <c r="C96" s="5">
        <v>2021</v>
      </c>
      <c r="D96" s="6" t="s">
        <v>522</v>
      </c>
      <c r="E96" s="7" t="s">
        <v>523</v>
      </c>
      <c r="F96" s="6" t="s">
        <v>24</v>
      </c>
      <c r="G96" s="6" t="s">
        <v>101</v>
      </c>
      <c r="H96" s="8" t="s">
        <v>49</v>
      </c>
      <c r="I96" s="5" t="s">
        <v>27</v>
      </c>
      <c r="J96" s="6" t="s">
        <v>28</v>
      </c>
      <c r="K96" s="5" t="s">
        <v>27</v>
      </c>
      <c r="L96" s="6" t="s">
        <v>28</v>
      </c>
      <c r="M96" s="6" t="s">
        <v>50</v>
      </c>
      <c r="N96" s="6" t="s">
        <v>524</v>
      </c>
      <c r="O96" s="6" t="s">
        <v>438</v>
      </c>
      <c r="P96" s="5" t="s">
        <v>34</v>
      </c>
      <c r="Q96" s="5" t="s">
        <v>27</v>
      </c>
    </row>
    <row r="97" spans="1:17" ht="44.55" customHeight="1" x14ac:dyDescent="0.3">
      <c r="A97" s="5">
        <v>95</v>
      </c>
      <c r="B97" s="6" t="s">
        <v>525</v>
      </c>
      <c r="C97" s="5">
        <v>2018</v>
      </c>
      <c r="D97" s="6" t="s">
        <v>526</v>
      </c>
      <c r="E97" s="7" t="s">
        <v>527</v>
      </c>
      <c r="F97" s="6" t="s">
        <v>321</v>
      </c>
      <c r="G97" s="6" t="s">
        <v>528</v>
      </c>
      <c r="H97" s="8" t="s">
        <v>49</v>
      </c>
      <c r="I97" s="5" t="s">
        <v>27</v>
      </c>
      <c r="J97" s="6" t="s">
        <v>28</v>
      </c>
      <c r="K97" s="5" t="s">
        <v>27</v>
      </c>
      <c r="L97" s="6" t="s">
        <v>28</v>
      </c>
      <c r="M97" s="6" t="s">
        <v>67</v>
      </c>
      <c r="N97" s="6" t="s">
        <v>529</v>
      </c>
      <c r="O97" s="6" t="s">
        <v>530</v>
      </c>
      <c r="P97" s="5" t="s">
        <v>34</v>
      </c>
      <c r="Q97" s="5" t="s">
        <v>27</v>
      </c>
    </row>
    <row r="98" spans="1:17" ht="44.55" customHeight="1" x14ac:dyDescent="0.3">
      <c r="A98" s="5">
        <v>96</v>
      </c>
      <c r="B98" s="6" t="s">
        <v>531</v>
      </c>
      <c r="C98" s="5">
        <v>2019</v>
      </c>
      <c r="D98" s="6" t="s">
        <v>532</v>
      </c>
      <c r="E98" s="7" t="s">
        <v>533</v>
      </c>
      <c r="F98" s="6" t="s">
        <v>38</v>
      </c>
      <c r="G98" s="6" t="s">
        <v>39</v>
      </c>
      <c r="H98" s="8" t="s">
        <v>40</v>
      </c>
      <c r="I98" s="5" t="s">
        <v>29</v>
      </c>
      <c r="J98" s="6" t="s">
        <v>155</v>
      </c>
      <c r="K98" s="5" t="s">
        <v>27</v>
      </c>
      <c r="L98" s="6" t="s">
        <v>28</v>
      </c>
      <c r="M98" s="6" t="s">
        <v>31</v>
      </c>
      <c r="N98" s="6" t="s">
        <v>534</v>
      </c>
      <c r="O98" s="6" t="s">
        <v>535</v>
      </c>
      <c r="P98" s="5" t="s">
        <v>34</v>
      </c>
      <c r="Q98" s="5" t="s">
        <v>27</v>
      </c>
    </row>
    <row r="99" spans="1:17" ht="71.55" customHeight="1" x14ac:dyDescent="0.3">
      <c r="A99" s="5">
        <v>97</v>
      </c>
      <c r="B99" s="6" t="s">
        <v>536</v>
      </c>
      <c r="C99" s="5">
        <v>2019</v>
      </c>
      <c r="D99" s="6" t="s">
        <v>537</v>
      </c>
      <c r="E99" s="7" t="s">
        <v>538</v>
      </c>
      <c r="F99" s="6" t="s">
        <v>24</v>
      </c>
      <c r="G99" s="6" t="s">
        <v>25</v>
      </c>
      <c r="H99" s="8" t="s">
        <v>49</v>
      </c>
      <c r="I99" s="5" t="s">
        <v>27</v>
      </c>
      <c r="J99" s="6" t="s">
        <v>28</v>
      </c>
      <c r="K99" s="5" t="s">
        <v>27</v>
      </c>
      <c r="L99" s="6" t="s">
        <v>28</v>
      </c>
      <c r="M99" s="6" t="s">
        <v>31</v>
      </c>
      <c r="N99" s="6" t="s">
        <v>197</v>
      </c>
      <c r="O99" s="6" t="s">
        <v>539</v>
      </c>
      <c r="P99" s="5" t="s">
        <v>34</v>
      </c>
      <c r="Q99" s="5" t="s">
        <v>27</v>
      </c>
    </row>
    <row r="100" spans="1:17" ht="31.05" customHeight="1" x14ac:dyDescent="0.3">
      <c r="A100" s="5">
        <v>98</v>
      </c>
      <c r="B100" s="6" t="s">
        <v>540</v>
      </c>
      <c r="C100" s="5">
        <v>2023</v>
      </c>
      <c r="D100" s="6" t="s">
        <v>541</v>
      </c>
      <c r="E100" s="7" t="s">
        <v>542</v>
      </c>
      <c r="F100" s="6" t="s">
        <v>38</v>
      </c>
      <c r="G100" s="6" t="s">
        <v>237</v>
      </c>
      <c r="H100" s="8" t="s">
        <v>40</v>
      </c>
      <c r="I100" s="5" t="s">
        <v>29</v>
      </c>
      <c r="J100" s="6" t="s">
        <v>191</v>
      </c>
      <c r="K100" s="5" t="s">
        <v>27</v>
      </c>
      <c r="L100" s="6" t="s">
        <v>28</v>
      </c>
      <c r="M100" s="6" t="s">
        <v>31</v>
      </c>
      <c r="N100" s="6" t="s">
        <v>543</v>
      </c>
      <c r="O100" s="6" t="s">
        <v>544</v>
      </c>
      <c r="P100" s="5" t="s">
        <v>34</v>
      </c>
      <c r="Q100" s="5" t="s">
        <v>27</v>
      </c>
    </row>
    <row r="101" spans="1:17" ht="44.55" customHeight="1" x14ac:dyDescent="0.3">
      <c r="A101" s="5">
        <v>99</v>
      </c>
      <c r="B101" s="6" t="s">
        <v>545</v>
      </c>
      <c r="C101" s="5">
        <v>2025</v>
      </c>
      <c r="D101" s="6" t="s">
        <v>546</v>
      </c>
      <c r="E101" s="7" t="s">
        <v>547</v>
      </c>
      <c r="F101" s="6" t="s">
        <v>38</v>
      </c>
      <c r="G101" s="6" t="s">
        <v>277</v>
      </c>
      <c r="H101" s="8" t="s">
        <v>40</v>
      </c>
      <c r="I101" s="5" t="s">
        <v>29</v>
      </c>
      <c r="J101" s="6" t="s">
        <v>548</v>
      </c>
      <c r="K101" s="5" t="s">
        <v>27</v>
      </c>
      <c r="L101" s="6" t="s">
        <v>28</v>
      </c>
      <c r="M101" s="6" t="s">
        <v>67</v>
      </c>
      <c r="N101" s="6" t="s">
        <v>549</v>
      </c>
      <c r="O101" s="6" t="s">
        <v>550</v>
      </c>
      <c r="P101" s="5" t="s">
        <v>34</v>
      </c>
      <c r="Q101" s="5" t="s">
        <v>27</v>
      </c>
    </row>
    <row r="102" spans="1:17" ht="31.05" customHeight="1" x14ac:dyDescent="0.3">
      <c r="A102" s="5">
        <v>100</v>
      </c>
      <c r="B102" s="6" t="s">
        <v>551</v>
      </c>
      <c r="C102" s="5">
        <v>2024</v>
      </c>
      <c r="D102" s="6" t="s">
        <v>552</v>
      </c>
      <c r="E102" s="7" t="s">
        <v>553</v>
      </c>
      <c r="F102" s="6" t="s">
        <v>38</v>
      </c>
      <c r="G102" s="6" t="s">
        <v>25</v>
      </c>
      <c r="H102" s="8" t="s">
        <v>49</v>
      </c>
      <c r="I102" s="5" t="s">
        <v>27</v>
      </c>
      <c r="J102" s="6" t="s">
        <v>28</v>
      </c>
      <c r="K102" s="5" t="s">
        <v>27</v>
      </c>
      <c r="L102" s="6" t="s">
        <v>28</v>
      </c>
      <c r="M102" s="6" t="s">
        <v>31</v>
      </c>
      <c r="N102" s="6" t="s">
        <v>173</v>
      </c>
      <c r="O102" s="6" t="s">
        <v>554</v>
      </c>
      <c r="P102" s="5" t="s">
        <v>34</v>
      </c>
      <c r="Q102" s="5" t="s">
        <v>27</v>
      </c>
    </row>
    <row r="103" spans="1:17" ht="44.55" customHeight="1" x14ac:dyDescent="0.3">
      <c r="A103" s="5">
        <v>101</v>
      </c>
      <c r="B103" s="6" t="s">
        <v>555</v>
      </c>
      <c r="C103" s="5">
        <v>2021</v>
      </c>
      <c r="D103" s="6" t="s">
        <v>556</v>
      </c>
      <c r="E103" s="7" t="s">
        <v>557</v>
      </c>
      <c r="F103" s="6" t="s">
        <v>321</v>
      </c>
      <c r="G103" s="6" t="s">
        <v>25</v>
      </c>
      <c r="H103" s="8" t="s">
        <v>40</v>
      </c>
      <c r="I103" s="5" t="s">
        <v>29</v>
      </c>
      <c r="J103" s="6" t="s">
        <v>558</v>
      </c>
      <c r="K103" s="5" t="s">
        <v>27</v>
      </c>
      <c r="L103" s="6" t="s">
        <v>28</v>
      </c>
      <c r="M103" s="6" t="s">
        <v>79</v>
      </c>
      <c r="N103" s="6" t="s">
        <v>559</v>
      </c>
      <c r="O103" s="6" t="s">
        <v>560</v>
      </c>
      <c r="P103" s="5" t="s">
        <v>34</v>
      </c>
      <c r="Q103" s="5" t="s">
        <v>27</v>
      </c>
    </row>
    <row r="104" spans="1:17" ht="44.55" customHeight="1" x14ac:dyDescent="0.3">
      <c r="A104" s="5">
        <v>102</v>
      </c>
      <c r="B104" s="6" t="s">
        <v>561</v>
      </c>
      <c r="C104" s="5">
        <v>2025</v>
      </c>
      <c r="D104" s="6" t="s">
        <v>562</v>
      </c>
      <c r="E104" s="7" t="s">
        <v>563</v>
      </c>
      <c r="F104" s="6" t="s">
        <v>85</v>
      </c>
      <c r="G104" s="6" t="s">
        <v>564</v>
      </c>
      <c r="H104" s="8" t="s">
        <v>49</v>
      </c>
      <c r="I104" s="5" t="s">
        <v>27</v>
      </c>
      <c r="J104" s="6" t="s">
        <v>28</v>
      </c>
      <c r="K104" s="5" t="s">
        <v>27</v>
      </c>
      <c r="L104" s="6" t="s">
        <v>28</v>
      </c>
      <c r="M104" s="6" t="s">
        <v>31</v>
      </c>
      <c r="N104" s="6" t="s">
        <v>448</v>
      </c>
      <c r="O104" s="6" t="s">
        <v>565</v>
      </c>
      <c r="P104" s="5" t="s">
        <v>34</v>
      </c>
      <c r="Q104" s="5" t="s">
        <v>27</v>
      </c>
    </row>
    <row r="105" spans="1:17" ht="31.05" customHeight="1" x14ac:dyDescent="0.3">
      <c r="A105" s="5">
        <v>103</v>
      </c>
      <c r="B105" s="6" t="s">
        <v>566</v>
      </c>
      <c r="C105" s="5">
        <v>2019</v>
      </c>
      <c r="D105" s="6" t="s">
        <v>567</v>
      </c>
      <c r="E105" s="7" t="s">
        <v>568</v>
      </c>
      <c r="F105" s="6" t="s">
        <v>38</v>
      </c>
      <c r="G105" s="6" t="s">
        <v>56</v>
      </c>
      <c r="H105" s="8" t="s">
        <v>49</v>
      </c>
      <c r="I105" s="5" t="s">
        <v>27</v>
      </c>
      <c r="J105" s="6" t="s">
        <v>28</v>
      </c>
      <c r="K105" s="5" t="s">
        <v>27</v>
      </c>
      <c r="L105" s="6" t="s">
        <v>28</v>
      </c>
      <c r="M105" s="6" t="s">
        <v>67</v>
      </c>
      <c r="N105" s="6" t="s">
        <v>108</v>
      </c>
      <c r="O105" s="6" t="s">
        <v>193</v>
      </c>
      <c r="P105" s="5" t="s">
        <v>34</v>
      </c>
      <c r="Q105" s="5" t="s">
        <v>27</v>
      </c>
    </row>
    <row r="106" spans="1:17" ht="31.05" customHeight="1" x14ac:dyDescent="0.3">
      <c r="A106" s="5">
        <v>104</v>
      </c>
      <c r="B106" s="6" t="s">
        <v>569</v>
      </c>
      <c r="C106" s="5">
        <v>2021</v>
      </c>
      <c r="D106" s="6" t="s">
        <v>570</v>
      </c>
      <c r="E106" s="7" t="s">
        <v>571</v>
      </c>
      <c r="F106" s="6" t="s">
        <v>38</v>
      </c>
      <c r="G106" s="6" t="s">
        <v>572</v>
      </c>
      <c r="H106" s="8" t="s">
        <v>49</v>
      </c>
      <c r="I106" s="5" t="s">
        <v>27</v>
      </c>
      <c r="J106" s="6" t="s">
        <v>28</v>
      </c>
      <c r="K106" s="5" t="s">
        <v>27</v>
      </c>
      <c r="L106" s="6" t="s">
        <v>28</v>
      </c>
      <c r="M106" s="6" t="s">
        <v>67</v>
      </c>
      <c r="N106" s="6" t="s">
        <v>329</v>
      </c>
      <c r="O106" s="6" t="s">
        <v>193</v>
      </c>
      <c r="P106" s="5" t="s">
        <v>34</v>
      </c>
      <c r="Q106" s="5" t="s">
        <v>29</v>
      </c>
    </row>
    <row r="107" spans="1:17" ht="44.55" customHeight="1" x14ac:dyDescent="0.3">
      <c r="A107" s="5">
        <v>105</v>
      </c>
      <c r="B107" s="6" t="s">
        <v>573</v>
      </c>
      <c r="C107" s="5">
        <v>2023</v>
      </c>
      <c r="D107" s="6" t="s">
        <v>574</v>
      </c>
      <c r="E107" s="7" t="s">
        <v>575</v>
      </c>
      <c r="F107" s="6" t="s">
        <v>38</v>
      </c>
      <c r="G107" s="6" t="s">
        <v>39</v>
      </c>
      <c r="H107" s="8" t="s">
        <v>49</v>
      </c>
      <c r="I107" s="5" t="s">
        <v>27</v>
      </c>
      <c r="J107" s="6" t="s">
        <v>28</v>
      </c>
      <c r="K107" s="5" t="s">
        <v>27</v>
      </c>
      <c r="L107" s="6" t="s">
        <v>28</v>
      </c>
      <c r="M107" s="6" t="s">
        <v>50</v>
      </c>
      <c r="N107" s="6" t="s">
        <v>576</v>
      </c>
      <c r="O107" s="6" t="s">
        <v>577</v>
      </c>
      <c r="P107" s="5" t="s">
        <v>34</v>
      </c>
      <c r="Q107" s="5" t="s">
        <v>27</v>
      </c>
    </row>
    <row r="108" spans="1:17" ht="44.55" customHeight="1" x14ac:dyDescent="0.3">
      <c r="A108" s="5">
        <v>106</v>
      </c>
      <c r="B108" s="6" t="s">
        <v>578</v>
      </c>
      <c r="C108" s="5">
        <v>2019</v>
      </c>
      <c r="D108" s="6" t="s">
        <v>579</v>
      </c>
      <c r="E108" s="7" t="s">
        <v>580</v>
      </c>
      <c r="F108" s="6" t="s">
        <v>38</v>
      </c>
      <c r="G108" s="6" t="s">
        <v>25</v>
      </c>
      <c r="H108" s="8" t="s">
        <v>49</v>
      </c>
      <c r="I108" s="5" t="s">
        <v>27</v>
      </c>
      <c r="J108" s="6" t="s">
        <v>28</v>
      </c>
      <c r="K108" s="5" t="s">
        <v>27</v>
      </c>
      <c r="L108" s="6" t="s">
        <v>28</v>
      </c>
      <c r="M108" s="6" t="s">
        <v>31</v>
      </c>
      <c r="N108" s="6" t="s">
        <v>581</v>
      </c>
      <c r="O108" s="6" t="s">
        <v>582</v>
      </c>
      <c r="P108" s="5" t="s">
        <v>34</v>
      </c>
      <c r="Q108" s="5" t="s">
        <v>27</v>
      </c>
    </row>
    <row r="109" spans="1:17" ht="31.05" customHeight="1" x14ac:dyDescent="0.3">
      <c r="A109" s="5">
        <v>107</v>
      </c>
      <c r="B109" s="6" t="s">
        <v>583</v>
      </c>
      <c r="C109" s="5">
        <v>2025</v>
      </c>
      <c r="D109" s="6" t="s">
        <v>584</v>
      </c>
      <c r="E109" s="7" t="s">
        <v>585</v>
      </c>
      <c r="F109" s="6" t="s">
        <v>38</v>
      </c>
      <c r="G109" s="6" t="s">
        <v>62</v>
      </c>
      <c r="H109" s="8" t="s">
        <v>49</v>
      </c>
      <c r="I109" s="5" t="s">
        <v>27</v>
      </c>
      <c r="J109" s="6" t="s">
        <v>28</v>
      </c>
      <c r="K109" s="5" t="s">
        <v>27</v>
      </c>
      <c r="L109" s="6" t="s">
        <v>28</v>
      </c>
      <c r="M109" s="6" t="s">
        <v>73</v>
      </c>
      <c r="N109" s="6" t="s">
        <v>586</v>
      </c>
      <c r="O109" s="6" t="s">
        <v>587</v>
      </c>
      <c r="P109" s="5" t="s">
        <v>34</v>
      </c>
      <c r="Q109" s="5" t="s">
        <v>27</v>
      </c>
    </row>
    <row r="110" spans="1:17" ht="31.05" customHeight="1" x14ac:dyDescent="0.3">
      <c r="A110" s="5">
        <v>108</v>
      </c>
      <c r="B110" s="6" t="s">
        <v>588</v>
      </c>
      <c r="C110" s="5">
        <v>2025</v>
      </c>
      <c r="D110" s="6" t="s">
        <v>589</v>
      </c>
      <c r="E110" s="7" t="s">
        <v>590</v>
      </c>
      <c r="F110" s="6" t="s">
        <v>38</v>
      </c>
      <c r="G110" s="6" t="s">
        <v>25</v>
      </c>
      <c r="H110" s="8" t="s">
        <v>40</v>
      </c>
      <c r="I110" s="5" t="s">
        <v>29</v>
      </c>
      <c r="J110" s="6" t="s">
        <v>155</v>
      </c>
      <c r="K110" s="5" t="s">
        <v>27</v>
      </c>
      <c r="L110" s="6" t="s">
        <v>28</v>
      </c>
      <c r="M110" s="6" t="s">
        <v>67</v>
      </c>
      <c r="N110" s="6" t="s">
        <v>92</v>
      </c>
      <c r="O110" s="6" t="s">
        <v>591</v>
      </c>
      <c r="P110" s="5" t="s">
        <v>34</v>
      </c>
      <c r="Q110" s="5" t="s">
        <v>27</v>
      </c>
    </row>
    <row r="111" spans="1:17" ht="44.55" customHeight="1" x14ac:dyDescent="0.3">
      <c r="A111" s="5">
        <v>109</v>
      </c>
      <c r="B111" s="6" t="s">
        <v>592</v>
      </c>
      <c r="C111" s="5">
        <v>2020</v>
      </c>
      <c r="D111" s="6" t="s">
        <v>593</v>
      </c>
      <c r="E111" s="7" t="s">
        <v>594</v>
      </c>
      <c r="F111" s="6" t="s">
        <v>321</v>
      </c>
      <c r="G111" s="6" t="s">
        <v>62</v>
      </c>
      <c r="H111" s="8" t="s">
        <v>40</v>
      </c>
      <c r="I111" s="5" t="s">
        <v>29</v>
      </c>
      <c r="J111" s="6" t="s">
        <v>64</v>
      </c>
      <c r="K111" s="5" t="s">
        <v>27</v>
      </c>
      <c r="L111" s="6" t="s">
        <v>28</v>
      </c>
      <c r="M111" s="6" t="s">
        <v>328</v>
      </c>
      <c r="N111" s="6" t="s">
        <v>595</v>
      </c>
      <c r="O111" s="6" t="s">
        <v>193</v>
      </c>
      <c r="P111" s="5" t="s">
        <v>34</v>
      </c>
      <c r="Q111" s="5" t="s">
        <v>27</v>
      </c>
    </row>
    <row r="112" spans="1:17" ht="44.55" customHeight="1" x14ac:dyDescent="0.3">
      <c r="A112" s="5">
        <v>110</v>
      </c>
      <c r="B112" s="6" t="s">
        <v>596</v>
      </c>
      <c r="C112" s="5">
        <v>2017</v>
      </c>
      <c r="D112" s="6" t="s">
        <v>597</v>
      </c>
      <c r="E112" s="7" t="s">
        <v>598</v>
      </c>
      <c r="F112" s="6" t="s">
        <v>321</v>
      </c>
      <c r="G112" s="6" t="s">
        <v>62</v>
      </c>
      <c r="H112" s="8" t="s">
        <v>49</v>
      </c>
      <c r="I112" s="5" t="s">
        <v>27</v>
      </c>
      <c r="J112" s="6" t="s">
        <v>28</v>
      </c>
      <c r="K112" s="5" t="s">
        <v>27</v>
      </c>
      <c r="L112" s="6" t="s">
        <v>28</v>
      </c>
      <c r="M112" s="6" t="s">
        <v>67</v>
      </c>
      <c r="N112" s="6" t="s">
        <v>213</v>
      </c>
      <c r="O112" s="6" t="s">
        <v>599</v>
      </c>
      <c r="P112" s="5" t="s">
        <v>34</v>
      </c>
      <c r="Q112" s="5" t="s">
        <v>27</v>
      </c>
    </row>
    <row r="113" spans="1:17" ht="31.05" customHeight="1" x14ac:dyDescent="0.3">
      <c r="A113" s="5">
        <v>111</v>
      </c>
      <c r="B113" s="6" t="s">
        <v>596</v>
      </c>
      <c r="C113" s="5">
        <v>2019</v>
      </c>
      <c r="D113" s="6" t="s">
        <v>600</v>
      </c>
      <c r="E113" s="7" t="s">
        <v>601</v>
      </c>
      <c r="F113" s="6" t="s">
        <v>321</v>
      </c>
      <c r="G113" s="6" t="s">
        <v>62</v>
      </c>
      <c r="H113" s="8" t="s">
        <v>40</v>
      </c>
      <c r="I113" s="5" t="s">
        <v>29</v>
      </c>
      <c r="J113" s="6" t="s">
        <v>202</v>
      </c>
      <c r="K113" s="5" t="s">
        <v>27</v>
      </c>
      <c r="L113" s="6" t="s">
        <v>28</v>
      </c>
      <c r="M113" s="6" t="s">
        <v>67</v>
      </c>
      <c r="N113" s="6" t="s">
        <v>602</v>
      </c>
      <c r="O113" s="6" t="s">
        <v>603</v>
      </c>
      <c r="P113" s="5" t="s">
        <v>34</v>
      </c>
      <c r="Q113" s="5" t="s">
        <v>27</v>
      </c>
    </row>
    <row r="114" spans="1:17" ht="44.55" customHeight="1" x14ac:dyDescent="0.3">
      <c r="A114" s="5">
        <v>112</v>
      </c>
      <c r="B114" s="6" t="s">
        <v>604</v>
      </c>
      <c r="C114" s="5">
        <v>2021</v>
      </c>
      <c r="D114" s="6" t="s">
        <v>605</v>
      </c>
      <c r="E114" s="7" t="s">
        <v>606</v>
      </c>
      <c r="F114" s="6" t="s">
        <v>85</v>
      </c>
      <c r="G114" s="6" t="s">
        <v>62</v>
      </c>
      <c r="H114" s="8" t="s">
        <v>40</v>
      </c>
      <c r="I114" s="5" t="s">
        <v>29</v>
      </c>
      <c r="J114" s="6" t="s">
        <v>202</v>
      </c>
      <c r="K114" s="5" t="s">
        <v>27</v>
      </c>
      <c r="L114" s="6" t="s">
        <v>28</v>
      </c>
      <c r="M114" s="6" t="s">
        <v>31</v>
      </c>
      <c r="N114" s="6" t="s">
        <v>316</v>
      </c>
      <c r="O114" s="6" t="s">
        <v>607</v>
      </c>
      <c r="P114" s="5" t="s">
        <v>34</v>
      </c>
      <c r="Q114" s="5" t="s">
        <v>29</v>
      </c>
    </row>
    <row r="115" spans="1:17" ht="44.55" customHeight="1" x14ac:dyDescent="0.3">
      <c r="A115" s="5">
        <v>113</v>
      </c>
      <c r="B115" s="6" t="s">
        <v>608</v>
      </c>
      <c r="C115" s="5">
        <v>2025</v>
      </c>
      <c r="D115" s="6" t="s">
        <v>609</v>
      </c>
      <c r="E115" s="7" t="s">
        <v>610</v>
      </c>
      <c r="F115" s="6" t="s">
        <v>38</v>
      </c>
      <c r="G115" s="6" t="s">
        <v>237</v>
      </c>
      <c r="H115" s="8" t="s">
        <v>49</v>
      </c>
      <c r="I115" s="5" t="s">
        <v>27</v>
      </c>
      <c r="J115" s="6" t="s">
        <v>28</v>
      </c>
      <c r="K115" s="5" t="s">
        <v>27</v>
      </c>
      <c r="L115" s="6" t="s">
        <v>28</v>
      </c>
      <c r="M115" s="6" t="s">
        <v>31</v>
      </c>
      <c r="N115" s="6" t="s">
        <v>611</v>
      </c>
      <c r="O115" s="6" t="s">
        <v>612</v>
      </c>
      <c r="P115" s="5" t="s">
        <v>34</v>
      </c>
      <c r="Q115" s="5" t="s">
        <v>27</v>
      </c>
    </row>
    <row r="116" spans="1:17" ht="44.55" customHeight="1" x14ac:dyDescent="0.3">
      <c r="A116" s="5">
        <v>114</v>
      </c>
      <c r="B116" s="6" t="s">
        <v>613</v>
      </c>
      <c r="C116" s="5">
        <v>2025</v>
      </c>
      <c r="D116" s="6" t="s">
        <v>614</v>
      </c>
      <c r="E116" s="7" t="s">
        <v>615</v>
      </c>
      <c r="F116" s="6" t="s">
        <v>38</v>
      </c>
      <c r="G116" s="6" t="s">
        <v>62</v>
      </c>
      <c r="H116" s="8" t="s">
        <v>40</v>
      </c>
      <c r="I116" s="5" t="s">
        <v>29</v>
      </c>
      <c r="J116" s="6" t="s">
        <v>64</v>
      </c>
      <c r="K116" s="5" t="s">
        <v>27</v>
      </c>
      <c r="L116" s="6" t="s">
        <v>28</v>
      </c>
      <c r="M116" s="6" t="s">
        <v>31</v>
      </c>
      <c r="N116" s="6" t="s">
        <v>616</v>
      </c>
      <c r="O116" s="6" t="s">
        <v>617</v>
      </c>
      <c r="P116" s="5" t="s">
        <v>34</v>
      </c>
      <c r="Q116" s="5" t="s">
        <v>27</v>
      </c>
    </row>
    <row r="117" spans="1:17" ht="44.55" customHeight="1" x14ac:dyDescent="0.3">
      <c r="A117" s="5">
        <v>115</v>
      </c>
      <c r="B117" s="6" t="s">
        <v>618</v>
      </c>
      <c r="C117" s="5">
        <v>2021</v>
      </c>
      <c r="D117" s="6" t="s">
        <v>619</v>
      </c>
      <c r="E117" s="7" t="s">
        <v>620</v>
      </c>
      <c r="F117" s="6" t="s">
        <v>85</v>
      </c>
      <c r="G117" s="6" t="s">
        <v>101</v>
      </c>
      <c r="H117" s="8" t="s">
        <v>63</v>
      </c>
      <c r="I117" s="5" t="s">
        <v>29</v>
      </c>
      <c r="J117" s="6" t="s">
        <v>621</v>
      </c>
      <c r="K117" s="5" t="s">
        <v>65</v>
      </c>
      <c r="L117" s="6" t="s">
        <v>28</v>
      </c>
      <c r="M117" s="6" t="s">
        <v>31</v>
      </c>
      <c r="N117" s="6" t="s">
        <v>622</v>
      </c>
      <c r="O117" s="6" t="s">
        <v>623</v>
      </c>
      <c r="P117" s="5" t="s">
        <v>34</v>
      </c>
      <c r="Q117" s="5" t="s">
        <v>27</v>
      </c>
    </row>
    <row r="118" spans="1:17" ht="31.05" customHeight="1" x14ac:dyDescent="0.3">
      <c r="A118" s="5">
        <v>116</v>
      </c>
      <c r="B118" s="6" t="s">
        <v>624</v>
      </c>
      <c r="C118" s="5">
        <v>2020</v>
      </c>
      <c r="D118" s="6" t="s">
        <v>625</v>
      </c>
      <c r="E118" s="7" t="s">
        <v>626</v>
      </c>
      <c r="F118" s="6" t="s">
        <v>38</v>
      </c>
      <c r="G118" s="6" t="s">
        <v>277</v>
      </c>
      <c r="H118" s="8" t="s">
        <v>49</v>
      </c>
      <c r="I118" s="5" t="s">
        <v>27</v>
      </c>
      <c r="J118" s="6" t="s">
        <v>28</v>
      </c>
      <c r="K118" s="5" t="s">
        <v>27</v>
      </c>
      <c r="L118" s="6" t="s">
        <v>28</v>
      </c>
      <c r="M118" s="6" t="s">
        <v>31</v>
      </c>
      <c r="N118" s="6" t="s">
        <v>627</v>
      </c>
      <c r="O118" s="6" t="s">
        <v>628</v>
      </c>
      <c r="P118" s="5" t="s">
        <v>34</v>
      </c>
      <c r="Q118" s="5" t="s">
        <v>27</v>
      </c>
    </row>
    <row r="119" spans="1:17" ht="31.05" customHeight="1" x14ac:dyDescent="0.3">
      <c r="A119" s="5">
        <v>117</v>
      </c>
      <c r="B119" s="6" t="s">
        <v>629</v>
      </c>
      <c r="C119" s="5">
        <v>2019</v>
      </c>
      <c r="D119" s="6" t="s">
        <v>630</v>
      </c>
      <c r="E119" s="7" t="s">
        <v>631</v>
      </c>
      <c r="F119" s="6" t="s">
        <v>646</v>
      </c>
      <c r="G119" s="6" t="s">
        <v>632</v>
      </c>
      <c r="H119" s="8" t="s">
        <v>40</v>
      </c>
      <c r="I119" s="5" t="s">
        <v>29</v>
      </c>
      <c r="J119" s="6" t="s">
        <v>64</v>
      </c>
      <c r="K119" s="5" t="s">
        <v>27</v>
      </c>
      <c r="L119" s="6" t="s">
        <v>28</v>
      </c>
      <c r="M119" s="6" t="s">
        <v>67</v>
      </c>
      <c r="N119" s="6" t="s">
        <v>213</v>
      </c>
      <c r="O119" s="6" t="s">
        <v>633</v>
      </c>
      <c r="P119" s="5" t="s">
        <v>34</v>
      </c>
      <c r="Q119" s="5" t="s">
        <v>27</v>
      </c>
    </row>
  </sheetData>
  <autoFilter ref="A2:Q119" xr:uid="{00000000-0009-0000-0000-000000000000}"/>
  <mergeCells count="4">
    <mergeCell ref="H1:L1"/>
    <mergeCell ref="A1:E1"/>
    <mergeCell ref="M1:Q1"/>
    <mergeCell ref="F1:G1"/>
  </mergeCells>
  <conditionalFormatting sqref="A3:Q119">
    <cfRule type="expression" dxfId="8" priority="1">
      <formula>MOD(ROW(),2)=0</formula>
    </cfRule>
  </conditionalFormatting>
  <conditionalFormatting sqref="H3:H119">
    <cfRule type="expression" dxfId="7" priority="2" stopIfTrue="1">
      <formula>LEFT($H3,4)="Both"</formula>
    </cfRule>
    <cfRule type="expression" dxfId="6" priority="3" stopIfTrue="1">
      <formula>LEFT($H3,3)="SoA"</formula>
    </cfRule>
    <cfRule type="expression" dxfId="5" priority="4" stopIfTrue="1">
      <formula>$H3="Presence"</formula>
    </cfRule>
    <cfRule type="expression" dxfId="4" priority="5" stopIfTrue="1">
      <formula>$H3="None"</formula>
    </cfRule>
  </conditionalFormatting>
  <conditionalFormatting sqref="I3:I119">
    <cfRule type="cellIs" dxfId="3" priority="8" operator="equal">
      <formula>"No"</formula>
    </cfRule>
  </conditionalFormatting>
  <conditionalFormatting sqref="J3:J119">
    <cfRule type="cellIs" dxfId="2" priority="6" operator="equal">
      <formula>"N/A"</formula>
    </cfRule>
  </conditionalFormatting>
  <conditionalFormatting sqref="K3:K119">
    <cfRule type="cellIs" dxfId="1" priority="9" operator="equal">
      <formula>"No"</formula>
    </cfRule>
  </conditionalFormatting>
  <conditionalFormatting sqref="L3:L119">
    <cfRule type="cellIs" dxfId="0" priority="7" operator="equal">
      <formula>"N/A"</formula>
    </cfRule>
  </conditionalFormatting>
  <hyperlinks>
    <hyperlink ref="E3" r:id="rId1" xr:uid="{00000000-0004-0000-0000-000000000000}"/>
    <hyperlink ref="E4" r:id="rId2" xr:uid="{00000000-0004-0000-0000-000001000000}"/>
    <hyperlink ref="E5" r:id="rId3" xr:uid="{00000000-0004-0000-0000-000002000000}"/>
    <hyperlink ref="E6" r:id="rId4" xr:uid="{00000000-0004-0000-0000-000003000000}"/>
    <hyperlink ref="E7" r:id="rId5" xr:uid="{00000000-0004-0000-0000-000004000000}"/>
    <hyperlink ref="E8" r:id="rId6" xr:uid="{00000000-0004-0000-0000-000005000000}"/>
    <hyperlink ref="E9" r:id="rId7" xr:uid="{00000000-0004-0000-0000-000006000000}"/>
    <hyperlink ref="E10" r:id="rId8" xr:uid="{00000000-0004-0000-0000-000007000000}"/>
    <hyperlink ref="E11" r:id="rId9" xr:uid="{00000000-0004-0000-0000-000008000000}"/>
    <hyperlink ref="E12" r:id="rId10" xr:uid="{00000000-0004-0000-0000-000009000000}"/>
    <hyperlink ref="E13" r:id="rId11" xr:uid="{00000000-0004-0000-0000-00000A000000}"/>
    <hyperlink ref="E14" r:id="rId12" xr:uid="{00000000-0004-0000-0000-00000B000000}"/>
    <hyperlink ref="E15" r:id="rId13" xr:uid="{00000000-0004-0000-0000-00000C000000}"/>
    <hyperlink ref="E16" r:id="rId14" xr:uid="{00000000-0004-0000-0000-00000D000000}"/>
    <hyperlink ref="E17" r:id="rId15" xr:uid="{00000000-0004-0000-0000-00000E000000}"/>
    <hyperlink ref="E18" r:id="rId16" xr:uid="{00000000-0004-0000-0000-00000F000000}"/>
    <hyperlink ref="E19" r:id="rId17" xr:uid="{00000000-0004-0000-0000-000010000000}"/>
    <hyperlink ref="E20" r:id="rId18" xr:uid="{00000000-0004-0000-0000-000011000000}"/>
    <hyperlink ref="E21" r:id="rId19" xr:uid="{00000000-0004-0000-0000-000012000000}"/>
    <hyperlink ref="E22" r:id="rId20" xr:uid="{00000000-0004-0000-0000-000013000000}"/>
    <hyperlink ref="E23" r:id="rId21" xr:uid="{00000000-0004-0000-0000-000014000000}"/>
    <hyperlink ref="E24" r:id="rId22" xr:uid="{00000000-0004-0000-0000-000015000000}"/>
    <hyperlink ref="E25" r:id="rId23" xr:uid="{00000000-0004-0000-0000-000016000000}"/>
    <hyperlink ref="E26" r:id="rId24" xr:uid="{00000000-0004-0000-0000-000017000000}"/>
    <hyperlink ref="E27" r:id="rId25" xr:uid="{00000000-0004-0000-0000-000018000000}"/>
    <hyperlink ref="E28" r:id="rId26" xr:uid="{00000000-0004-0000-0000-000019000000}"/>
    <hyperlink ref="E29" r:id="rId27" xr:uid="{00000000-0004-0000-0000-00001A000000}"/>
    <hyperlink ref="E30" r:id="rId28" xr:uid="{00000000-0004-0000-0000-00001B000000}"/>
    <hyperlink ref="E31" r:id="rId29" xr:uid="{00000000-0004-0000-0000-00001C000000}"/>
    <hyperlink ref="E32" r:id="rId30" xr:uid="{00000000-0004-0000-0000-00001D000000}"/>
    <hyperlink ref="E33" r:id="rId31" xr:uid="{00000000-0004-0000-0000-00001E000000}"/>
    <hyperlink ref="E34" r:id="rId32" xr:uid="{00000000-0004-0000-0000-00001F000000}"/>
    <hyperlink ref="E35" r:id="rId33" xr:uid="{00000000-0004-0000-0000-000020000000}"/>
    <hyperlink ref="E36" r:id="rId34" xr:uid="{00000000-0004-0000-0000-000021000000}"/>
    <hyperlink ref="E37" r:id="rId35" xr:uid="{00000000-0004-0000-0000-000022000000}"/>
    <hyperlink ref="E38" r:id="rId36" xr:uid="{00000000-0004-0000-0000-000023000000}"/>
    <hyperlink ref="E39" r:id="rId37" xr:uid="{00000000-0004-0000-0000-000024000000}"/>
    <hyperlink ref="E40" r:id="rId38" xr:uid="{00000000-0004-0000-0000-000025000000}"/>
    <hyperlink ref="E41" r:id="rId39" xr:uid="{00000000-0004-0000-0000-000026000000}"/>
    <hyperlink ref="E42" r:id="rId40" xr:uid="{00000000-0004-0000-0000-000027000000}"/>
    <hyperlink ref="E43" r:id="rId41" xr:uid="{00000000-0004-0000-0000-000028000000}"/>
    <hyperlink ref="E44" r:id="rId42" xr:uid="{00000000-0004-0000-0000-000029000000}"/>
    <hyperlink ref="E45" r:id="rId43" xr:uid="{00000000-0004-0000-0000-00002A000000}"/>
    <hyperlink ref="E46" r:id="rId44" xr:uid="{00000000-0004-0000-0000-00002B000000}"/>
    <hyperlink ref="E47" r:id="rId45" xr:uid="{00000000-0004-0000-0000-00002C000000}"/>
    <hyperlink ref="E48" r:id="rId46" xr:uid="{00000000-0004-0000-0000-00002D000000}"/>
    <hyperlink ref="E49" r:id="rId47" xr:uid="{00000000-0004-0000-0000-00002E000000}"/>
    <hyperlink ref="E50" r:id="rId48" xr:uid="{00000000-0004-0000-0000-00002F000000}"/>
    <hyperlink ref="E51" r:id="rId49" xr:uid="{00000000-0004-0000-0000-000030000000}"/>
    <hyperlink ref="E52" r:id="rId50" xr:uid="{00000000-0004-0000-0000-000031000000}"/>
    <hyperlink ref="E53" r:id="rId51" xr:uid="{00000000-0004-0000-0000-000032000000}"/>
    <hyperlink ref="E54" r:id="rId52" xr:uid="{00000000-0004-0000-0000-000033000000}"/>
    <hyperlink ref="E55" r:id="rId53" xr:uid="{00000000-0004-0000-0000-000034000000}"/>
    <hyperlink ref="E56" r:id="rId54" xr:uid="{00000000-0004-0000-0000-000035000000}"/>
    <hyperlink ref="E57" r:id="rId55" xr:uid="{00000000-0004-0000-0000-000036000000}"/>
    <hyperlink ref="E58" r:id="rId56" xr:uid="{00000000-0004-0000-0000-000037000000}"/>
    <hyperlink ref="E59" r:id="rId57" xr:uid="{00000000-0004-0000-0000-000038000000}"/>
    <hyperlink ref="E60" r:id="rId58" xr:uid="{00000000-0004-0000-0000-000039000000}"/>
    <hyperlink ref="E61" r:id="rId59" xr:uid="{00000000-0004-0000-0000-00003A000000}"/>
    <hyperlink ref="E62" r:id="rId60" xr:uid="{00000000-0004-0000-0000-00003B000000}"/>
    <hyperlink ref="E63" r:id="rId61" xr:uid="{00000000-0004-0000-0000-00003C000000}"/>
    <hyperlink ref="E64" r:id="rId62" xr:uid="{00000000-0004-0000-0000-00003D000000}"/>
    <hyperlink ref="E65" r:id="rId63" xr:uid="{00000000-0004-0000-0000-00003E000000}"/>
    <hyperlink ref="E66" r:id="rId64" xr:uid="{00000000-0004-0000-0000-00003F000000}"/>
    <hyperlink ref="E67" r:id="rId65" xr:uid="{00000000-0004-0000-0000-000040000000}"/>
    <hyperlink ref="E68" r:id="rId66" xr:uid="{00000000-0004-0000-0000-000041000000}"/>
    <hyperlink ref="E69" r:id="rId67" xr:uid="{00000000-0004-0000-0000-000042000000}"/>
    <hyperlink ref="E70" r:id="rId68" xr:uid="{00000000-0004-0000-0000-000043000000}"/>
    <hyperlink ref="E71" r:id="rId69" xr:uid="{00000000-0004-0000-0000-000044000000}"/>
    <hyperlink ref="E72" r:id="rId70" xr:uid="{00000000-0004-0000-0000-000045000000}"/>
    <hyperlink ref="E73" r:id="rId71" xr:uid="{00000000-0004-0000-0000-000046000000}"/>
    <hyperlink ref="E74" r:id="rId72" xr:uid="{00000000-0004-0000-0000-000047000000}"/>
    <hyperlink ref="E75" r:id="rId73" xr:uid="{00000000-0004-0000-0000-000048000000}"/>
    <hyperlink ref="E76" r:id="rId74" xr:uid="{00000000-0004-0000-0000-000049000000}"/>
    <hyperlink ref="E77" r:id="rId75" xr:uid="{00000000-0004-0000-0000-00004A000000}"/>
    <hyperlink ref="E78" r:id="rId76" xr:uid="{00000000-0004-0000-0000-00004B000000}"/>
    <hyperlink ref="E79" r:id="rId77" xr:uid="{00000000-0004-0000-0000-00004C000000}"/>
    <hyperlink ref="E80" r:id="rId78" xr:uid="{00000000-0004-0000-0000-00004D000000}"/>
    <hyperlink ref="E81" r:id="rId79" xr:uid="{00000000-0004-0000-0000-00004E000000}"/>
    <hyperlink ref="E82" r:id="rId80" xr:uid="{00000000-0004-0000-0000-00004F000000}"/>
    <hyperlink ref="E83" r:id="rId81" xr:uid="{00000000-0004-0000-0000-000050000000}"/>
    <hyperlink ref="E84" r:id="rId82" xr:uid="{00000000-0004-0000-0000-000051000000}"/>
    <hyperlink ref="E85" r:id="rId83" xr:uid="{00000000-0004-0000-0000-000052000000}"/>
    <hyperlink ref="E86" r:id="rId84" xr:uid="{00000000-0004-0000-0000-000053000000}"/>
    <hyperlink ref="E87" r:id="rId85" xr:uid="{00000000-0004-0000-0000-000054000000}"/>
    <hyperlink ref="E88" r:id="rId86" xr:uid="{00000000-0004-0000-0000-000055000000}"/>
    <hyperlink ref="E89" r:id="rId87" xr:uid="{00000000-0004-0000-0000-000056000000}"/>
    <hyperlink ref="E90" r:id="rId88" xr:uid="{00000000-0004-0000-0000-000057000000}"/>
    <hyperlink ref="E91" r:id="rId89" xr:uid="{00000000-0004-0000-0000-000058000000}"/>
    <hyperlink ref="E92" r:id="rId90" xr:uid="{00000000-0004-0000-0000-000059000000}"/>
    <hyperlink ref="E93" r:id="rId91" xr:uid="{00000000-0004-0000-0000-00005A000000}"/>
    <hyperlink ref="E94" r:id="rId92" xr:uid="{00000000-0004-0000-0000-00005B000000}"/>
    <hyperlink ref="E95" r:id="rId93" xr:uid="{00000000-0004-0000-0000-00005C000000}"/>
    <hyperlink ref="E96" r:id="rId94" xr:uid="{00000000-0004-0000-0000-00005D000000}"/>
    <hyperlink ref="E97" r:id="rId95" xr:uid="{00000000-0004-0000-0000-00005E000000}"/>
    <hyperlink ref="E98" r:id="rId96" xr:uid="{00000000-0004-0000-0000-00005F000000}"/>
    <hyperlink ref="E99" r:id="rId97" xr:uid="{00000000-0004-0000-0000-000060000000}"/>
    <hyperlink ref="E100" r:id="rId98" xr:uid="{00000000-0004-0000-0000-000061000000}"/>
    <hyperlink ref="E101" r:id="rId99" xr:uid="{00000000-0004-0000-0000-000062000000}"/>
    <hyperlink ref="E102" r:id="rId100" xr:uid="{00000000-0004-0000-0000-000063000000}"/>
    <hyperlink ref="E103" r:id="rId101" xr:uid="{00000000-0004-0000-0000-000064000000}"/>
    <hyperlink ref="E104" r:id="rId102" xr:uid="{00000000-0004-0000-0000-000065000000}"/>
    <hyperlink ref="E105" r:id="rId103" xr:uid="{00000000-0004-0000-0000-000066000000}"/>
    <hyperlink ref="E106" r:id="rId104" xr:uid="{00000000-0004-0000-0000-000067000000}"/>
    <hyperlink ref="E107" r:id="rId105" xr:uid="{00000000-0004-0000-0000-000068000000}"/>
    <hyperlink ref="E108" r:id="rId106" xr:uid="{00000000-0004-0000-0000-000069000000}"/>
    <hyperlink ref="E109" r:id="rId107" xr:uid="{00000000-0004-0000-0000-00006A000000}"/>
    <hyperlink ref="E110" r:id="rId108" xr:uid="{00000000-0004-0000-0000-00006B000000}"/>
    <hyperlink ref="E111" r:id="rId109" xr:uid="{00000000-0004-0000-0000-00006C000000}"/>
    <hyperlink ref="E112" r:id="rId110" xr:uid="{00000000-0004-0000-0000-00006D000000}"/>
    <hyperlink ref="E113" r:id="rId111" xr:uid="{00000000-0004-0000-0000-00006E000000}"/>
    <hyperlink ref="E114" r:id="rId112" xr:uid="{00000000-0004-0000-0000-00006F000000}"/>
    <hyperlink ref="E115" r:id="rId113" xr:uid="{00000000-0004-0000-0000-000070000000}"/>
    <hyperlink ref="E116" r:id="rId114" xr:uid="{00000000-0004-0000-0000-000071000000}"/>
    <hyperlink ref="E117" r:id="rId115" xr:uid="{00000000-0004-0000-0000-000072000000}"/>
    <hyperlink ref="E118" r:id="rId116" xr:uid="{00000000-0004-0000-0000-000073000000}"/>
    <hyperlink ref="E119" r:id="rId117" xr:uid="{00000000-0004-0000-0000-000074000000}"/>
  </hyperlinks>
  <pageMargins left="0.75" right="0.75" top="1" bottom="1" header="0.5" footer="0.5"/>
  <pageSetup paperSize="8"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48235"/>
  </sheetPr>
  <dimension ref="A1:C50"/>
  <sheetViews>
    <sheetView showGridLines="0" topLeftCell="A30" workbookViewId="0">
      <selection activeCell="I28" sqref="I28"/>
    </sheetView>
  </sheetViews>
  <sheetFormatPr defaultRowHeight="14.4" x14ac:dyDescent="0.3"/>
  <cols>
    <col min="1" max="1" width="46" customWidth="1"/>
    <col min="2" max="2" width="11" customWidth="1"/>
    <col min="3" max="3" width="9" customWidth="1"/>
  </cols>
  <sheetData>
    <row r="1" spans="1:3" ht="18" x14ac:dyDescent="0.35">
      <c r="A1" s="9" t="s">
        <v>634</v>
      </c>
    </row>
    <row r="3" spans="1:3" x14ac:dyDescent="0.3">
      <c r="A3" s="10" t="s">
        <v>635</v>
      </c>
      <c r="B3" s="11">
        <f>COUNTA('Table 3'!$A$3:$A$119)</f>
        <v>117</v>
      </c>
    </row>
    <row r="5" spans="1:3" x14ac:dyDescent="0.3">
      <c r="A5" s="12" t="s">
        <v>11</v>
      </c>
      <c r="B5" s="13" t="s">
        <v>636</v>
      </c>
      <c r="C5" s="13" t="s">
        <v>637</v>
      </c>
    </row>
    <row r="6" spans="1:3" x14ac:dyDescent="0.3">
      <c r="A6" s="14" t="s">
        <v>638</v>
      </c>
      <c r="B6" s="15">
        <f>COUNTIF('Table 3'!$H$3:$H$119,"Presence")</f>
        <v>39</v>
      </c>
      <c r="C6" s="16">
        <f t="shared" ref="C6:C12" si="0">B6/$B$3</f>
        <v>0.33333333333333331</v>
      </c>
    </row>
    <row r="7" spans="1:3" x14ac:dyDescent="0.3">
      <c r="A7" s="14" t="s">
        <v>639</v>
      </c>
      <c r="B7" s="15">
        <f>COUNTIF('Table 3'!$H$3:$H$119,"SoA")</f>
        <v>4</v>
      </c>
      <c r="C7" s="16">
        <f t="shared" si="0"/>
        <v>3.4188034188034191E-2</v>
      </c>
    </row>
    <row r="8" spans="1:3" x14ac:dyDescent="0.3">
      <c r="A8" s="14" t="s">
        <v>640</v>
      </c>
      <c r="B8" s="15">
        <f>COUNTIF('Table 3'!$H$3:$H$119,"SoA~*")</f>
        <v>4</v>
      </c>
      <c r="C8" s="16">
        <f t="shared" si="0"/>
        <v>3.4188034188034191E-2</v>
      </c>
    </row>
    <row r="9" spans="1:3" x14ac:dyDescent="0.3">
      <c r="A9" s="14" t="s">
        <v>641</v>
      </c>
      <c r="B9" s="15">
        <f>COUNTIF('Table 3'!$H$3:$H$119,"Both")</f>
        <v>0</v>
      </c>
      <c r="C9" s="16">
        <f t="shared" si="0"/>
        <v>0</v>
      </c>
    </row>
    <row r="10" spans="1:3" x14ac:dyDescent="0.3">
      <c r="A10" s="14" t="s">
        <v>642</v>
      </c>
      <c r="B10" s="15">
        <f>COUNTIF('Table 3'!$H$3:$H$119,"Both~*")</f>
        <v>3</v>
      </c>
      <c r="C10" s="16">
        <f t="shared" si="0"/>
        <v>2.564102564102564E-2</v>
      </c>
    </row>
    <row r="11" spans="1:3" x14ac:dyDescent="0.3">
      <c r="A11" s="14" t="s">
        <v>49</v>
      </c>
      <c r="B11" s="15">
        <f>COUNTIF('Table 3'!$H$3:$H$119,"None")</f>
        <v>67</v>
      </c>
      <c r="C11" s="16">
        <f t="shared" si="0"/>
        <v>0.57264957264957261</v>
      </c>
    </row>
    <row r="12" spans="1:3" x14ac:dyDescent="0.3">
      <c r="A12" s="17" t="s">
        <v>643</v>
      </c>
      <c r="B12" s="18">
        <f>SUM(B6:B11)</f>
        <v>117</v>
      </c>
      <c r="C12" s="19">
        <f t="shared" si="0"/>
        <v>1</v>
      </c>
    </row>
    <row r="14" spans="1:3" x14ac:dyDescent="0.3">
      <c r="A14" s="12" t="s">
        <v>12</v>
      </c>
      <c r="B14" s="13" t="s">
        <v>636</v>
      </c>
      <c r="C14" s="13" t="s">
        <v>637</v>
      </c>
    </row>
    <row r="15" spans="1:3" x14ac:dyDescent="0.3">
      <c r="A15" s="14" t="s">
        <v>29</v>
      </c>
      <c r="B15" s="15">
        <f>COUNTIF('Table 3'!$I$3:$I$119,"Yes")</f>
        <v>42</v>
      </c>
      <c r="C15" s="16">
        <f>B15/$B$3</f>
        <v>0.35897435897435898</v>
      </c>
    </row>
    <row r="16" spans="1:3" x14ac:dyDescent="0.3">
      <c r="A16" s="14" t="s">
        <v>27</v>
      </c>
      <c r="B16" s="15">
        <f>COUNTIF('Table 3'!$I$3:$I$119,"No")</f>
        <v>75</v>
      </c>
      <c r="C16" s="16">
        <f>B16/$B$3</f>
        <v>0.64102564102564108</v>
      </c>
    </row>
    <row r="18" spans="1:3" x14ac:dyDescent="0.3">
      <c r="A18" s="12" t="s">
        <v>14</v>
      </c>
      <c r="B18" s="13" t="s">
        <v>636</v>
      </c>
      <c r="C18" s="13" t="s">
        <v>637</v>
      </c>
    </row>
    <row r="19" spans="1:3" x14ac:dyDescent="0.3">
      <c r="A19" s="14" t="s">
        <v>29</v>
      </c>
      <c r="B19" s="15">
        <f>COUNTIF('Table 3'!$K$3:$K$119,"Yes")</f>
        <v>4</v>
      </c>
      <c r="C19" s="16">
        <f>B19/$B$3</f>
        <v>3.4188034188034191E-2</v>
      </c>
    </row>
    <row r="20" spans="1:3" x14ac:dyDescent="0.3">
      <c r="A20" s="14" t="s">
        <v>65</v>
      </c>
      <c r="B20" s="15">
        <f>COUNTIF('Table 3'!$K$3:$K$119,"Indirectly")</f>
        <v>7</v>
      </c>
      <c r="C20" s="16">
        <f>B20/$B$3</f>
        <v>5.9829059829059832E-2</v>
      </c>
    </row>
    <row r="21" spans="1:3" x14ac:dyDescent="0.3">
      <c r="A21" s="14" t="s">
        <v>27</v>
      </c>
      <c r="B21" s="15">
        <f>COUNTIF('Table 3'!$K$3:$K$119,"No")</f>
        <v>106</v>
      </c>
      <c r="C21" s="16">
        <f>B21/$B$3</f>
        <v>0.90598290598290598</v>
      </c>
    </row>
    <row r="23" spans="1:3" x14ac:dyDescent="0.3">
      <c r="A23" s="12" t="s">
        <v>644</v>
      </c>
      <c r="B23" s="13" t="s">
        <v>636</v>
      </c>
      <c r="C23" s="13" t="s">
        <v>637</v>
      </c>
    </row>
    <row r="24" spans="1:3" x14ac:dyDescent="0.3">
      <c r="A24" s="14" t="s">
        <v>38</v>
      </c>
      <c r="B24" s="15">
        <f>COUNTIF('Table 3'!$F$3:$F$119,"*Passive Haptics*")</f>
        <v>69</v>
      </c>
      <c r="C24" s="16">
        <f t="shared" ref="C24:C30" si="1">B24/$B$3</f>
        <v>0.58974358974358976</v>
      </c>
    </row>
    <row r="25" spans="1:3" x14ac:dyDescent="0.3">
      <c r="A25" s="14" t="s">
        <v>321</v>
      </c>
      <c r="B25" s="15">
        <f>COUNTIF('Table 3'!$F$3:$F$119,"*Active Haptics*")</f>
        <v>13</v>
      </c>
      <c r="C25" s="16">
        <f t="shared" si="1"/>
        <v>0.1111111111111111</v>
      </c>
    </row>
    <row r="26" spans="1:3" x14ac:dyDescent="0.3">
      <c r="A26" s="14" t="s">
        <v>645</v>
      </c>
      <c r="B26" s="15">
        <f>COUNTIF('Table 3'!$F$3:$F$119,"*Redirected Touching*")</f>
        <v>1</v>
      </c>
      <c r="C26" s="16">
        <f t="shared" si="1"/>
        <v>8.5470085470085479E-3</v>
      </c>
    </row>
    <row r="27" spans="1:3" x14ac:dyDescent="0.3">
      <c r="A27" s="14" t="s">
        <v>243</v>
      </c>
      <c r="B27" s="15">
        <f>COUNTIF('Table 3'!$F$3:$F$119,"*Haptic Retargeting*")</f>
        <v>3</v>
      </c>
      <c r="C27" s="16">
        <f t="shared" si="1"/>
        <v>2.564102564102564E-2</v>
      </c>
    </row>
    <row r="28" spans="1:3" x14ac:dyDescent="0.3">
      <c r="A28" s="14" t="s">
        <v>24</v>
      </c>
      <c r="B28" s="15">
        <f>COUNTIF('Table 3'!$F$3:$F$119,"*Object Substitution*")</f>
        <v>10</v>
      </c>
      <c r="C28" s="16">
        <f t="shared" si="1"/>
        <v>8.5470085470085472E-2</v>
      </c>
    </row>
    <row r="29" spans="1:3" x14ac:dyDescent="0.3">
      <c r="A29" s="14" t="s">
        <v>646</v>
      </c>
      <c r="B29" s="15">
        <f>COUNTIF('Table 3'!$F$3:$F$119,"*Reconfigurable Props*")</f>
        <v>1</v>
      </c>
      <c r="C29" s="16">
        <f t="shared" si="1"/>
        <v>8.5470085470085479E-3</v>
      </c>
    </row>
    <row r="30" spans="1:3" x14ac:dyDescent="0.3">
      <c r="A30" s="14" t="s">
        <v>85</v>
      </c>
      <c r="B30" s="15">
        <f>COUNTIF('Table 3'!$F$3:$F$119,"*Hybrid*")</f>
        <v>20</v>
      </c>
      <c r="C30" s="16">
        <f t="shared" si="1"/>
        <v>0.17094017094017094</v>
      </c>
    </row>
    <row r="32" spans="1:3" x14ac:dyDescent="0.3">
      <c r="A32" s="12" t="s">
        <v>20</v>
      </c>
      <c r="B32" s="13" t="s">
        <v>636</v>
      </c>
      <c r="C32" s="13" t="s">
        <v>637</v>
      </c>
    </row>
    <row r="33" spans="1:3" x14ac:dyDescent="0.3">
      <c r="A33" s="14" t="s">
        <v>29</v>
      </c>
      <c r="B33" s="15">
        <f>COUNTIF('Table 3'!$Q$3:$Q$119,"Yes")</f>
        <v>5</v>
      </c>
      <c r="C33" s="16">
        <f>B33/$B$3</f>
        <v>4.2735042735042736E-2</v>
      </c>
    </row>
    <row r="34" spans="1:3" x14ac:dyDescent="0.3">
      <c r="A34" s="14" t="s">
        <v>27</v>
      </c>
      <c r="B34" s="15">
        <f>COUNTIF('Table 3'!$Q$3:$Q$119,"No")</f>
        <v>112</v>
      </c>
      <c r="C34" s="16">
        <f>B34/$B$3</f>
        <v>0.95726495726495731</v>
      </c>
    </row>
    <row r="36" spans="1:3" x14ac:dyDescent="0.3">
      <c r="A36" s="12" t="s">
        <v>6</v>
      </c>
      <c r="B36" s="13" t="s">
        <v>636</v>
      </c>
      <c r="C36" s="13" t="s">
        <v>637</v>
      </c>
    </row>
    <row r="37" spans="1:3" x14ac:dyDescent="0.3">
      <c r="A37" s="20">
        <v>2015</v>
      </c>
      <c r="B37" s="15">
        <f>COUNTIF('Table 3'!$C$3:$C$119,2015)</f>
        <v>1</v>
      </c>
      <c r="C37" s="16">
        <f t="shared" ref="C37:C47" si="2">B37/$B$3</f>
        <v>8.5470085470085479E-3</v>
      </c>
    </row>
    <row r="38" spans="1:3" x14ac:dyDescent="0.3">
      <c r="A38" s="20">
        <v>2016</v>
      </c>
      <c r="B38" s="15">
        <f>COUNTIF('Table 3'!$C$3:$C$119,2016)</f>
        <v>3</v>
      </c>
      <c r="C38" s="16">
        <f t="shared" si="2"/>
        <v>2.564102564102564E-2</v>
      </c>
    </row>
    <row r="39" spans="1:3" x14ac:dyDescent="0.3">
      <c r="A39" s="20">
        <v>2017</v>
      </c>
      <c r="B39" s="15">
        <f>COUNTIF('Table 3'!$C$3:$C$119,2017)</f>
        <v>5</v>
      </c>
      <c r="C39" s="16">
        <f t="shared" si="2"/>
        <v>4.2735042735042736E-2</v>
      </c>
    </row>
    <row r="40" spans="1:3" x14ac:dyDescent="0.3">
      <c r="A40" s="20">
        <v>2018</v>
      </c>
      <c r="B40" s="15">
        <f>COUNTIF('Table 3'!$C$3:$C$119,2018)</f>
        <v>6</v>
      </c>
      <c r="C40" s="16">
        <f t="shared" si="2"/>
        <v>5.128205128205128E-2</v>
      </c>
    </row>
    <row r="41" spans="1:3" x14ac:dyDescent="0.3">
      <c r="A41" s="20">
        <v>2019</v>
      </c>
      <c r="B41" s="15">
        <f>COUNTIF('Table 3'!$C$3:$C$119,2019)</f>
        <v>15</v>
      </c>
      <c r="C41" s="16">
        <f t="shared" si="2"/>
        <v>0.12820512820512819</v>
      </c>
    </row>
    <row r="42" spans="1:3" x14ac:dyDescent="0.3">
      <c r="A42" s="20">
        <v>2020</v>
      </c>
      <c r="B42" s="15">
        <f>COUNTIF('Table 3'!$C$3:$C$119,2020)</f>
        <v>13</v>
      </c>
      <c r="C42" s="16">
        <f t="shared" si="2"/>
        <v>0.1111111111111111</v>
      </c>
    </row>
    <row r="43" spans="1:3" x14ac:dyDescent="0.3">
      <c r="A43" s="20">
        <v>2021</v>
      </c>
      <c r="B43" s="15">
        <f>COUNTIF('Table 3'!$C$3:$C$119,2021)</f>
        <v>23</v>
      </c>
      <c r="C43" s="16">
        <f t="shared" si="2"/>
        <v>0.19658119658119658</v>
      </c>
    </row>
    <row r="44" spans="1:3" x14ac:dyDescent="0.3">
      <c r="A44" s="20">
        <v>2022</v>
      </c>
      <c r="B44" s="15">
        <f>COUNTIF('Table 3'!$C$3:$C$119,2022)</f>
        <v>8</v>
      </c>
      <c r="C44" s="16">
        <f t="shared" si="2"/>
        <v>6.8376068376068383E-2</v>
      </c>
    </row>
    <row r="45" spans="1:3" x14ac:dyDescent="0.3">
      <c r="A45" s="20">
        <v>2023</v>
      </c>
      <c r="B45" s="15">
        <f>COUNTIF('Table 3'!$C$3:$C$119,2023)</f>
        <v>13</v>
      </c>
      <c r="C45" s="16">
        <f t="shared" si="2"/>
        <v>0.1111111111111111</v>
      </c>
    </row>
    <row r="46" spans="1:3" x14ac:dyDescent="0.3">
      <c r="A46" s="20">
        <v>2024</v>
      </c>
      <c r="B46" s="15">
        <f>COUNTIF('Table 3'!$C$3:$C$119,2024)</f>
        <v>12</v>
      </c>
      <c r="C46" s="16">
        <f t="shared" si="2"/>
        <v>0.10256410256410256</v>
      </c>
    </row>
    <row r="47" spans="1:3" x14ac:dyDescent="0.3">
      <c r="A47" s="20">
        <v>2025</v>
      </c>
      <c r="B47" s="15">
        <f>COUNTIF('Table 3'!$C$3:$C$119,2025)</f>
        <v>18</v>
      </c>
      <c r="C47" s="16">
        <f t="shared" si="2"/>
        <v>0.15384615384615385</v>
      </c>
    </row>
    <row r="49" spans="1:1" x14ac:dyDescent="0.3">
      <c r="A49" s="21" t="s">
        <v>647</v>
      </c>
    </row>
    <row r="50" spans="1:1" x14ac:dyDescent="0.3">
      <c r="A50" s="21" t="s">
        <v>648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6A6A6"/>
  </sheetPr>
  <dimension ref="A1:P118"/>
  <sheetViews>
    <sheetView workbookViewId="0">
      <pane xSplit="2" ySplit="1" topLeftCell="C2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6" customWidth="1"/>
    <col min="2" max="3" width="28" customWidth="1"/>
    <col min="4" max="4" width="7" customWidth="1"/>
    <col min="5" max="16" width="28" customWidth="1"/>
  </cols>
  <sheetData>
    <row r="1" spans="1:16" ht="43.2" x14ac:dyDescent="0.3">
      <c r="A1" s="22" t="s">
        <v>4</v>
      </c>
      <c r="B1" s="22" t="s">
        <v>5</v>
      </c>
      <c r="C1" s="22" t="s">
        <v>7</v>
      </c>
      <c r="D1" s="22" t="s">
        <v>6</v>
      </c>
      <c r="E1" s="22" t="s">
        <v>8</v>
      </c>
      <c r="F1" s="22" t="s">
        <v>10</v>
      </c>
      <c r="G1" s="22" t="s">
        <v>649</v>
      </c>
      <c r="H1" s="22" t="s">
        <v>17</v>
      </c>
      <c r="I1" s="22" t="s">
        <v>650</v>
      </c>
      <c r="J1" s="22" t="s">
        <v>651</v>
      </c>
      <c r="K1" s="22" t="s">
        <v>652</v>
      </c>
      <c r="L1" s="22" t="s">
        <v>653</v>
      </c>
      <c r="M1" s="22" t="s">
        <v>654</v>
      </c>
      <c r="N1" s="22" t="s">
        <v>655</v>
      </c>
      <c r="O1" s="22" t="s">
        <v>656</v>
      </c>
      <c r="P1" s="22" t="s">
        <v>657</v>
      </c>
    </row>
    <row r="2" spans="1:16" ht="57.6" x14ac:dyDescent="0.3">
      <c r="A2" s="23">
        <v>1</v>
      </c>
      <c r="B2" s="23" t="s">
        <v>21</v>
      </c>
      <c r="C2" s="23" t="s">
        <v>22</v>
      </c>
      <c r="D2" s="23">
        <v>2024</v>
      </c>
      <c r="E2" s="23" t="s">
        <v>23</v>
      </c>
      <c r="F2" s="23" t="s">
        <v>25</v>
      </c>
      <c r="G2" s="23" t="s">
        <v>31</v>
      </c>
      <c r="H2" s="23" t="s">
        <v>32</v>
      </c>
      <c r="I2" s="23" t="s">
        <v>33</v>
      </c>
      <c r="J2" s="23" t="s">
        <v>24</v>
      </c>
      <c r="K2" s="23" t="s">
        <v>27</v>
      </c>
      <c r="L2" s="23" t="s">
        <v>28</v>
      </c>
      <c r="M2" s="23" t="s">
        <v>29</v>
      </c>
      <c r="N2" s="23" t="s">
        <v>30</v>
      </c>
      <c r="O2" s="23" t="s">
        <v>34</v>
      </c>
      <c r="P2" s="23" t="s">
        <v>27</v>
      </c>
    </row>
    <row r="3" spans="1:16" ht="57.6" x14ac:dyDescent="0.3">
      <c r="A3" s="23">
        <v>2</v>
      </c>
      <c r="B3" s="23" t="s">
        <v>35</v>
      </c>
      <c r="C3" s="23" t="s">
        <v>36</v>
      </c>
      <c r="D3" s="23">
        <v>2021</v>
      </c>
      <c r="E3" s="23" t="s">
        <v>37</v>
      </c>
      <c r="F3" s="23" t="s">
        <v>39</v>
      </c>
      <c r="G3" s="23" t="s">
        <v>658</v>
      </c>
      <c r="H3" s="23" t="s">
        <v>659</v>
      </c>
      <c r="I3" s="23" t="s">
        <v>660</v>
      </c>
      <c r="J3" s="23" t="s">
        <v>38</v>
      </c>
      <c r="K3" s="23" t="s">
        <v>29</v>
      </c>
      <c r="L3" s="23" t="s">
        <v>661</v>
      </c>
      <c r="M3" s="23" t="s">
        <v>27</v>
      </c>
      <c r="N3" s="23" t="s">
        <v>28</v>
      </c>
      <c r="O3" s="23" t="s">
        <v>34</v>
      </c>
      <c r="P3" s="23" t="s">
        <v>27</v>
      </c>
    </row>
    <row r="4" spans="1:16" ht="43.2" x14ac:dyDescent="0.3">
      <c r="A4" s="23">
        <v>3</v>
      </c>
      <c r="B4" s="23" t="s">
        <v>45</v>
      </c>
      <c r="C4" s="23" t="s">
        <v>46</v>
      </c>
      <c r="D4" s="23">
        <v>2025</v>
      </c>
      <c r="E4" s="23" t="s">
        <v>47</v>
      </c>
      <c r="F4" s="23" t="s">
        <v>662</v>
      </c>
      <c r="G4" s="23" t="s">
        <v>663</v>
      </c>
      <c r="H4" s="23" t="s">
        <v>664</v>
      </c>
      <c r="I4" s="23" t="s">
        <v>52</v>
      </c>
      <c r="J4" s="23" t="s">
        <v>665</v>
      </c>
      <c r="K4" s="23" t="s">
        <v>27</v>
      </c>
      <c r="L4" s="23" t="s">
        <v>28</v>
      </c>
      <c r="M4" s="23" t="s">
        <v>27</v>
      </c>
      <c r="N4" s="23" t="s">
        <v>28</v>
      </c>
      <c r="O4" s="23" t="s">
        <v>34</v>
      </c>
      <c r="P4" s="23" t="s">
        <v>27</v>
      </c>
    </row>
    <row r="5" spans="1:16" ht="43.2" x14ac:dyDescent="0.3">
      <c r="A5" s="23">
        <v>4</v>
      </c>
      <c r="B5" s="23" t="s">
        <v>53</v>
      </c>
      <c r="C5" s="23" t="s">
        <v>54</v>
      </c>
      <c r="D5" s="23">
        <v>2021</v>
      </c>
      <c r="E5" s="23" t="s">
        <v>55</v>
      </c>
      <c r="F5" s="23" t="s">
        <v>666</v>
      </c>
      <c r="G5" s="23" t="s">
        <v>31</v>
      </c>
      <c r="H5" s="23" t="s">
        <v>667</v>
      </c>
      <c r="I5" s="23" t="s">
        <v>668</v>
      </c>
      <c r="J5" s="23" t="s">
        <v>669</v>
      </c>
      <c r="K5" s="23" t="s">
        <v>27</v>
      </c>
      <c r="L5" s="23" t="s">
        <v>28</v>
      </c>
      <c r="M5" s="23" t="s">
        <v>27</v>
      </c>
      <c r="N5" s="23" t="s">
        <v>28</v>
      </c>
      <c r="O5" s="23" t="s">
        <v>34</v>
      </c>
      <c r="P5" s="23" t="s">
        <v>27</v>
      </c>
    </row>
    <row r="6" spans="1:16" ht="57.6" x14ac:dyDescent="0.3">
      <c r="A6" s="23">
        <v>5</v>
      </c>
      <c r="B6" s="23" t="s">
        <v>59</v>
      </c>
      <c r="C6" s="23" t="s">
        <v>60</v>
      </c>
      <c r="D6" s="23">
        <v>2016</v>
      </c>
      <c r="E6" s="23" t="s">
        <v>61</v>
      </c>
      <c r="F6" s="23" t="s">
        <v>670</v>
      </c>
      <c r="G6" s="23" t="s">
        <v>671</v>
      </c>
      <c r="H6" s="23" t="s">
        <v>672</v>
      </c>
      <c r="I6" s="23" t="s">
        <v>673</v>
      </c>
      <c r="J6" s="23" t="s">
        <v>674</v>
      </c>
      <c r="K6" s="23" t="s">
        <v>29</v>
      </c>
      <c r="L6" s="23" t="s">
        <v>675</v>
      </c>
      <c r="M6" s="23" t="s">
        <v>65</v>
      </c>
      <c r="N6" s="23" t="s">
        <v>66</v>
      </c>
      <c r="O6" s="23" t="s">
        <v>34</v>
      </c>
      <c r="P6" s="23" t="s">
        <v>27</v>
      </c>
    </row>
    <row r="7" spans="1:16" ht="72" x14ac:dyDescent="0.3">
      <c r="A7" s="23">
        <v>6</v>
      </c>
      <c r="B7" s="23" t="s">
        <v>70</v>
      </c>
      <c r="C7" s="23" t="s">
        <v>71</v>
      </c>
      <c r="D7" s="23">
        <v>2019</v>
      </c>
      <c r="E7" s="23" t="s">
        <v>72</v>
      </c>
      <c r="F7" s="23" t="s">
        <v>39</v>
      </c>
      <c r="G7" s="23" t="s">
        <v>676</v>
      </c>
      <c r="H7" s="23" t="s">
        <v>677</v>
      </c>
      <c r="I7" s="23" t="s">
        <v>678</v>
      </c>
      <c r="J7" s="23" t="s">
        <v>38</v>
      </c>
      <c r="K7" s="23" t="s">
        <v>27</v>
      </c>
      <c r="L7" s="23" t="s">
        <v>28</v>
      </c>
      <c r="M7" s="23" t="s">
        <v>27</v>
      </c>
      <c r="N7" s="23" t="s">
        <v>28</v>
      </c>
      <c r="O7" s="23" t="s">
        <v>34</v>
      </c>
      <c r="P7" s="23" t="s">
        <v>27</v>
      </c>
    </row>
    <row r="8" spans="1:16" ht="43.2" x14ac:dyDescent="0.3">
      <c r="A8" s="23">
        <v>7</v>
      </c>
      <c r="B8" s="23" t="s">
        <v>76</v>
      </c>
      <c r="C8" s="23" t="s">
        <v>77</v>
      </c>
      <c r="D8" s="23">
        <v>2021</v>
      </c>
      <c r="E8" s="23" t="s">
        <v>78</v>
      </c>
      <c r="F8" s="23" t="s">
        <v>25</v>
      </c>
      <c r="G8" s="23" t="s">
        <v>679</v>
      </c>
      <c r="H8" s="23" t="s">
        <v>80</v>
      </c>
      <c r="I8" s="23" t="s">
        <v>81</v>
      </c>
      <c r="J8" s="23" t="s">
        <v>38</v>
      </c>
      <c r="K8" s="23" t="s">
        <v>27</v>
      </c>
      <c r="L8" s="23" t="s">
        <v>28</v>
      </c>
      <c r="M8" s="23" t="s">
        <v>27</v>
      </c>
      <c r="N8" s="23" t="s">
        <v>28</v>
      </c>
      <c r="O8" s="23" t="s">
        <v>34</v>
      </c>
      <c r="P8" s="23" t="s">
        <v>27</v>
      </c>
    </row>
    <row r="9" spans="1:16" ht="57.6" x14ac:dyDescent="0.3">
      <c r="A9" s="23">
        <v>8</v>
      </c>
      <c r="B9" s="23" t="s">
        <v>82</v>
      </c>
      <c r="C9" s="23" t="s">
        <v>83</v>
      </c>
      <c r="D9" s="23">
        <v>2020</v>
      </c>
      <c r="E9" s="23" t="s">
        <v>84</v>
      </c>
      <c r="F9" s="23" t="s">
        <v>39</v>
      </c>
      <c r="G9" s="23" t="s">
        <v>676</v>
      </c>
      <c r="H9" s="23" t="s">
        <v>680</v>
      </c>
      <c r="I9" s="23" t="s">
        <v>681</v>
      </c>
      <c r="J9" s="23" t="s">
        <v>85</v>
      </c>
      <c r="K9" s="23" t="s">
        <v>27</v>
      </c>
      <c r="L9" s="23" t="s">
        <v>28</v>
      </c>
      <c r="M9" s="23" t="s">
        <v>27</v>
      </c>
      <c r="N9" s="23" t="s">
        <v>28</v>
      </c>
      <c r="O9" s="23" t="s">
        <v>34</v>
      </c>
      <c r="P9" s="23" t="s">
        <v>29</v>
      </c>
    </row>
    <row r="10" spans="1:16" ht="57.6" x14ac:dyDescent="0.3">
      <c r="A10" s="23">
        <v>9</v>
      </c>
      <c r="B10" s="23" t="s">
        <v>88</v>
      </c>
      <c r="C10" s="23" t="s">
        <v>89</v>
      </c>
      <c r="D10" s="23">
        <v>2025</v>
      </c>
      <c r="E10" s="23" t="s">
        <v>90</v>
      </c>
      <c r="F10" s="23" t="s">
        <v>25</v>
      </c>
      <c r="G10" s="23" t="s">
        <v>31</v>
      </c>
      <c r="H10" s="23" t="s">
        <v>682</v>
      </c>
      <c r="I10" s="23" t="s">
        <v>683</v>
      </c>
      <c r="J10" s="23" t="s">
        <v>24</v>
      </c>
      <c r="K10" s="23" t="s">
        <v>27</v>
      </c>
      <c r="L10" s="23" t="s">
        <v>28</v>
      </c>
      <c r="M10" s="23" t="s">
        <v>29</v>
      </c>
      <c r="N10" s="23" t="s">
        <v>91</v>
      </c>
      <c r="O10" s="23" t="s">
        <v>34</v>
      </c>
      <c r="P10" s="23" t="s">
        <v>27</v>
      </c>
    </row>
    <row r="11" spans="1:16" ht="57.6" x14ac:dyDescent="0.3">
      <c r="A11" s="23">
        <v>10</v>
      </c>
      <c r="B11" s="23" t="s">
        <v>94</v>
      </c>
      <c r="C11" s="23" t="s">
        <v>95</v>
      </c>
      <c r="D11" s="23">
        <v>2023</v>
      </c>
      <c r="E11" s="23" t="s">
        <v>96</v>
      </c>
      <c r="F11" s="23" t="s">
        <v>670</v>
      </c>
      <c r="G11" s="23" t="s">
        <v>31</v>
      </c>
      <c r="H11" s="23" t="s">
        <v>684</v>
      </c>
      <c r="I11" s="23" t="s">
        <v>52</v>
      </c>
      <c r="J11" s="23" t="s">
        <v>38</v>
      </c>
      <c r="K11" s="23" t="s">
        <v>27</v>
      </c>
      <c r="L11" s="23" t="s">
        <v>28</v>
      </c>
      <c r="M11" s="23" t="s">
        <v>27</v>
      </c>
      <c r="N11" s="23" t="s">
        <v>28</v>
      </c>
      <c r="O11" s="23" t="s">
        <v>34</v>
      </c>
      <c r="P11" s="23" t="s">
        <v>27</v>
      </c>
    </row>
    <row r="12" spans="1:16" ht="57.6" x14ac:dyDescent="0.3">
      <c r="A12" s="23">
        <v>11</v>
      </c>
      <c r="B12" s="23" t="s">
        <v>98</v>
      </c>
      <c r="C12" s="23" t="s">
        <v>99</v>
      </c>
      <c r="D12" s="23">
        <v>2021</v>
      </c>
      <c r="E12" s="23" t="s">
        <v>100</v>
      </c>
      <c r="F12" s="23" t="s">
        <v>101</v>
      </c>
      <c r="G12" s="23" t="s">
        <v>31</v>
      </c>
      <c r="H12" s="23" t="s">
        <v>103</v>
      </c>
      <c r="I12" s="23" t="s">
        <v>104</v>
      </c>
      <c r="J12" s="23" t="s">
        <v>38</v>
      </c>
      <c r="K12" s="23" t="s">
        <v>29</v>
      </c>
      <c r="L12" s="23" t="s">
        <v>102</v>
      </c>
      <c r="M12" s="23" t="s">
        <v>27</v>
      </c>
      <c r="N12" s="23" t="s">
        <v>28</v>
      </c>
      <c r="O12" s="23" t="s">
        <v>34</v>
      </c>
      <c r="P12" s="23" t="s">
        <v>27</v>
      </c>
    </row>
    <row r="13" spans="1:16" ht="43.2" x14ac:dyDescent="0.3">
      <c r="A13" s="23">
        <v>12</v>
      </c>
      <c r="B13" s="23" t="s">
        <v>105</v>
      </c>
      <c r="C13" s="23" t="s">
        <v>106</v>
      </c>
      <c r="D13" s="23">
        <v>2022</v>
      </c>
      <c r="E13" s="23" t="s">
        <v>107</v>
      </c>
      <c r="F13" s="23" t="s">
        <v>670</v>
      </c>
      <c r="G13" s="23" t="s">
        <v>671</v>
      </c>
      <c r="H13" s="23" t="s">
        <v>685</v>
      </c>
      <c r="I13" s="23" t="s">
        <v>109</v>
      </c>
      <c r="J13" s="23" t="s">
        <v>38</v>
      </c>
      <c r="K13" s="23" t="s">
        <v>29</v>
      </c>
      <c r="L13" s="23" t="s">
        <v>675</v>
      </c>
      <c r="M13" s="23" t="s">
        <v>27</v>
      </c>
      <c r="N13" s="23" t="s">
        <v>28</v>
      </c>
      <c r="O13" s="23" t="s">
        <v>34</v>
      </c>
      <c r="P13" s="23" t="s">
        <v>27</v>
      </c>
    </row>
    <row r="14" spans="1:16" ht="72" x14ac:dyDescent="0.3">
      <c r="A14" s="23">
        <v>13</v>
      </c>
      <c r="B14" s="23" t="s">
        <v>110</v>
      </c>
      <c r="C14" s="23" t="s">
        <v>111</v>
      </c>
      <c r="D14" s="23">
        <v>2023</v>
      </c>
      <c r="E14" s="23" t="s">
        <v>112</v>
      </c>
      <c r="F14" s="23" t="s">
        <v>113</v>
      </c>
      <c r="G14" s="23" t="s">
        <v>114</v>
      </c>
      <c r="H14" s="23" t="s">
        <v>686</v>
      </c>
      <c r="I14" s="23" t="s">
        <v>116</v>
      </c>
      <c r="J14" s="23" t="s">
        <v>38</v>
      </c>
      <c r="K14" s="23" t="s">
        <v>27</v>
      </c>
      <c r="L14" s="23" t="s">
        <v>28</v>
      </c>
      <c r="M14" s="23" t="s">
        <v>27</v>
      </c>
      <c r="N14" s="23" t="s">
        <v>28</v>
      </c>
      <c r="O14" s="23" t="s">
        <v>34</v>
      </c>
      <c r="P14" s="23" t="s">
        <v>27</v>
      </c>
    </row>
    <row r="15" spans="1:16" ht="43.2" x14ac:dyDescent="0.3">
      <c r="A15" s="23">
        <v>14</v>
      </c>
      <c r="B15" s="23" t="s">
        <v>117</v>
      </c>
      <c r="C15" s="23" t="s">
        <v>118</v>
      </c>
      <c r="D15" s="23">
        <v>2020</v>
      </c>
      <c r="E15" s="23" t="s">
        <v>119</v>
      </c>
      <c r="F15" s="23" t="s">
        <v>687</v>
      </c>
      <c r="G15" s="23" t="s">
        <v>120</v>
      </c>
      <c r="H15" s="23" t="s">
        <v>688</v>
      </c>
      <c r="I15" s="23" t="s">
        <v>122</v>
      </c>
      <c r="J15" s="23" t="s">
        <v>38</v>
      </c>
      <c r="K15" s="23" t="s">
        <v>27</v>
      </c>
      <c r="L15" s="23" t="s">
        <v>28</v>
      </c>
      <c r="M15" s="23" t="s">
        <v>27</v>
      </c>
      <c r="N15" s="23" t="s">
        <v>28</v>
      </c>
      <c r="O15" s="23" t="s">
        <v>34</v>
      </c>
      <c r="P15" s="23" t="s">
        <v>27</v>
      </c>
    </row>
    <row r="16" spans="1:16" ht="57.6" x14ac:dyDescent="0.3">
      <c r="A16" s="23">
        <v>15</v>
      </c>
      <c r="B16" s="23" t="s">
        <v>123</v>
      </c>
      <c r="C16" s="23" t="s">
        <v>124</v>
      </c>
      <c r="D16" s="23">
        <v>2019</v>
      </c>
      <c r="E16" s="23" t="s">
        <v>125</v>
      </c>
      <c r="F16" s="23" t="s">
        <v>39</v>
      </c>
      <c r="G16" s="23" t="s">
        <v>126</v>
      </c>
      <c r="H16" s="23" t="s">
        <v>689</v>
      </c>
      <c r="I16" s="23" t="s">
        <v>128</v>
      </c>
      <c r="J16" s="23" t="s">
        <v>38</v>
      </c>
      <c r="K16" s="23" t="s">
        <v>27</v>
      </c>
      <c r="L16" s="23" t="s">
        <v>28</v>
      </c>
      <c r="M16" s="23" t="s">
        <v>27</v>
      </c>
      <c r="N16" s="23" t="s">
        <v>28</v>
      </c>
      <c r="O16" s="23" t="s">
        <v>34</v>
      </c>
      <c r="P16" s="23" t="s">
        <v>27</v>
      </c>
    </row>
    <row r="17" spans="1:16" ht="72" x14ac:dyDescent="0.3">
      <c r="A17" s="23">
        <v>16</v>
      </c>
      <c r="B17" s="23" t="s">
        <v>129</v>
      </c>
      <c r="C17" s="23" t="s">
        <v>130</v>
      </c>
      <c r="D17" s="23">
        <v>2022</v>
      </c>
      <c r="E17" s="23" t="s">
        <v>131</v>
      </c>
      <c r="F17" s="23" t="s">
        <v>670</v>
      </c>
      <c r="G17" s="23" t="s">
        <v>690</v>
      </c>
      <c r="H17" s="23" t="s">
        <v>691</v>
      </c>
      <c r="I17" s="23" t="s">
        <v>134</v>
      </c>
      <c r="J17" s="23" t="s">
        <v>38</v>
      </c>
      <c r="K17" s="23" t="s">
        <v>29</v>
      </c>
      <c r="L17" s="23" t="s">
        <v>132</v>
      </c>
      <c r="M17" s="23" t="s">
        <v>27</v>
      </c>
      <c r="N17" s="23" t="s">
        <v>28</v>
      </c>
      <c r="O17" s="23" t="s">
        <v>34</v>
      </c>
      <c r="P17" s="23" t="s">
        <v>27</v>
      </c>
    </row>
    <row r="18" spans="1:16" ht="72" x14ac:dyDescent="0.3">
      <c r="A18" s="23">
        <v>17</v>
      </c>
      <c r="B18" s="23" t="s">
        <v>135</v>
      </c>
      <c r="C18" s="23" t="s">
        <v>136</v>
      </c>
      <c r="D18" s="23">
        <v>2024</v>
      </c>
      <c r="E18" s="23" t="s">
        <v>137</v>
      </c>
      <c r="F18" s="23" t="s">
        <v>692</v>
      </c>
      <c r="G18" s="23" t="s">
        <v>658</v>
      </c>
      <c r="H18" s="23" t="s">
        <v>693</v>
      </c>
      <c r="I18" s="23" t="s">
        <v>694</v>
      </c>
      <c r="J18" s="23" t="s">
        <v>38</v>
      </c>
      <c r="K18" s="23" t="s">
        <v>29</v>
      </c>
      <c r="L18" s="23" t="s">
        <v>675</v>
      </c>
      <c r="M18" s="23" t="s">
        <v>65</v>
      </c>
      <c r="N18" s="23" t="s">
        <v>28</v>
      </c>
      <c r="O18" s="23" t="s">
        <v>34</v>
      </c>
      <c r="P18" s="23" t="s">
        <v>27</v>
      </c>
    </row>
    <row r="19" spans="1:16" ht="57.6" x14ac:dyDescent="0.3">
      <c r="A19" s="23">
        <v>18</v>
      </c>
      <c r="B19" s="23" t="s">
        <v>141</v>
      </c>
      <c r="C19" s="23" t="s">
        <v>142</v>
      </c>
      <c r="D19" s="23">
        <v>2021</v>
      </c>
      <c r="E19" s="23" t="s">
        <v>143</v>
      </c>
      <c r="F19" s="23" t="s">
        <v>25</v>
      </c>
      <c r="G19" s="23" t="s">
        <v>658</v>
      </c>
      <c r="H19" s="23" t="s">
        <v>144</v>
      </c>
      <c r="I19" s="23" t="s">
        <v>145</v>
      </c>
      <c r="J19" s="23" t="s">
        <v>695</v>
      </c>
      <c r="K19" s="23" t="s">
        <v>27</v>
      </c>
      <c r="L19" s="23" t="s">
        <v>28</v>
      </c>
      <c r="M19" s="23" t="s">
        <v>27</v>
      </c>
      <c r="N19" s="23" t="s">
        <v>28</v>
      </c>
      <c r="O19" s="23" t="s">
        <v>34</v>
      </c>
      <c r="P19" s="23" t="s">
        <v>27</v>
      </c>
    </row>
    <row r="20" spans="1:16" ht="57.6" x14ac:dyDescent="0.3">
      <c r="A20" s="23">
        <v>19</v>
      </c>
      <c r="B20" s="23" t="s">
        <v>146</v>
      </c>
      <c r="C20" s="23" t="s">
        <v>147</v>
      </c>
      <c r="D20" s="23">
        <v>2024</v>
      </c>
      <c r="E20" s="23" t="s">
        <v>148</v>
      </c>
      <c r="F20" s="23" t="s">
        <v>670</v>
      </c>
      <c r="G20" s="23" t="s">
        <v>690</v>
      </c>
      <c r="H20" s="23" t="s">
        <v>149</v>
      </c>
      <c r="I20" s="23" t="s">
        <v>150</v>
      </c>
      <c r="J20" s="23" t="s">
        <v>38</v>
      </c>
      <c r="K20" s="23" t="s">
        <v>27</v>
      </c>
      <c r="L20" s="23" t="s">
        <v>28</v>
      </c>
      <c r="M20" s="23" t="s">
        <v>27</v>
      </c>
      <c r="N20" s="23" t="s">
        <v>28</v>
      </c>
      <c r="O20" s="23" t="s">
        <v>34</v>
      </c>
      <c r="P20" s="23" t="s">
        <v>27</v>
      </c>
    </row>
    <row r="21" spans="1:16" ht="57.6" x14ac:dyDescent="0.3">
      <c r="A21" s="23">
        <v>20</v>
      </c>
      <c r="B21" s="23" t="s">
        <v>151</v>
      </c>
      <c r="C21" s="23" t="s">
        <v>152</v>
      </c>
      <c r="D21" s="23">
        <v>2022</v>
      </c>
      <c r="E21" s="23" t="s">
        <v>153</v>
      </c>
      <c r="F21" s="23" t="s">
        <v>39</v>
      </c>
      <c r="G21" s="23" t="s">
        <v>696</v>
      </c>
      <c r="H21" s="23" t="s">
        <v>697</v>
      </c>
      <c r="I21" s="23" t="s">
        <v>158</v>
      </c>
      <c r="J21" s="23" t="s">
        <v>38</v>
      </c>
      <c r="K21" s="23" t="s">
        <v>27</v>
      </c>
      <c r="L21" s="23" t="s">
        <v>28</v>
      </c>
      <c r="M21" s="23" t="s">
        <v>65</v>
      </c>
      <c r="N21" s="23" t="s">
        <v>155</v>
      </c>
      <c r="O21" s="23" t="s">
        <v>34</v>
      </c>
      <c r="P21" s="23" t="s">
        <v>27</v>
      </c>
    </row>
    <row r="22" spans="1:16" ht="43.2" x14ac:dyDescent="0.3">
      <c r="A22" s="23">
        <v>21</v>
      </c>
      <c r="B22" s="23" t="s">
        <v>159</v>
      </c>
      <c r="C22" s="23" t="s">
        <v>160</v>
      </c>
      <c r="D22" s="23">
        <v>2025</v>
      </c>
      <c r="E22" s="23" t="s">
        <v>161</v>
      </c>
      <c r="F22" s="23" t="s">
        <v>670</v>
      </c>
      <c r="G22" s="23" t="s">
        <v>31</v>
      </c>
      <c r="H22" s="23" t="s">
        <v>698</v>
      </c>
      <c r="I22" s="23" t="s">
        <v>163</v>
      </c>
      <c r="J22" s="23" t="s">
        <v>38</v>
      </c>
      <c r="K22" s="23" t="s">
        <v>27</v>
      </c>
      <c r="L22" s="23" t="s">
        <v>28</v>
      </c>
      <c r="M22" s="23" t="s">
        <v>27</v>
      </c>
      <c r="N22" s="23" t="s">
        <v>28</v>
      </c>
      <c r="O22" s="23" t="s">
        <v>34</v>
      </c>
      <c r="P22" s="23" t="s">
        <v>27</v>
      </c>
    </row>
    <row r="23" spans="1:16" ht="72" x14ac:dyDescent="0.3">
      <c r="A23" s="23">
        <v>22</v>
      </c>
      <c r="B23" s="23" t="s">
        <v>164</v>
      </c>
      <c r="C23" s="23" t="s">
        <v>165</v>
      </c>
      <c r="D23" s="23">
        <v>2025</v>
      </c>
      <c r="E23" s="23" t="s">
        <v>166</v>
      </c>
      <c r="F23" s="23" t="s">
        <v>699</v>
      </c>
      <c r="G23" s="23" t="s">
        <v>676</v>
      </c>
      <c r="H23" s="23" t="s">
        <v>700</v>
      </c>
      <c r="I23" s="23" t="s">
        <v>169</v>
      </c>
      <c r="J23" s="23" t="s">
        <v>38</v>
      </c>
      <c r="K23" s="23" t="s">
        <v>27</v>
      </c>
      <c r="L23" s="23" t="s">
        <v>28</v>
      </c>
      <c r="M23" s="23" t="s">
        <v>27</v>
      </c>
      <c r="N23" s="23" t="s">
        <v>28</v>
      </c>
      <c r="O23" s="23" t="s">
        <v>34</v>
      </c>
      <c r="P23" s="23" t="s">
        <v>27</v>
      </c>
    </row>
    <row r="24" spans="1:16" ht="57.6" x14ac:dyDescent="0.3">
      <c r="A24" s="23">
        <v>23</v>
      </c>
      <c r="B24" s="23" t="s">
        <v>170</v>
      </c>
      <c r="C24" s="23" t="s">
        <v>171</v>
      </c>
      <c r="D24" s="23">
        <v>2024</v>
      </c>
      <c r="E24" s="23" t="s">
        <v>172</v>
      </c>
      <c r="F24" s="23" t="s">
        <v>25</v>
      </c>
      <c r="G24" s="23" t="s">
        <v>676</v>
      </c>
      <c r="H24" s="23" t="s">
        <v>701</v>
      </c>
      <c r="I24" s="23" t="s">
        <v>52</v>
      </c>
      <c r="J24" s="23" t="s">
        <v>38</v>
      </c>
      <c r="K24" s="23" t="s">
        <v>27</v>
      </c>
      <c r="L24" s="23" t="s">
        <v>28</v>
      </c>
      <c r="M24" s="23" t="s">
        <v>27</v>
      </c>
      <c r="N24" s="23" t="s">
        <v>28</v>
      </c>
      <c r="O24" s="23" t="s">
        <v>34</v>
      </c>
      <c r="P24" s="23" t="s">
        <v>27</v>
      </c>
    </row>
    <row r="25" spans="1:16" ht="57.6" x14ac:dyDescent="0.3">
      <c r="A25" s="23">
        <v>24</v>
      </c>
      <c r="B25" s="23" t="s">
        <v>174</v>
      </c>
      <c r="C25" s="23" t="s">
        <v>175</v>
      </c>
      <c r="D25" s="23">
        <v>2018</v>
      </c>
      <c r="E25" s="23" t="s">
        <v>176</v>
      </c>
      <c r="F25" s="23" t="s">
        <v>670</v>
      </c>
      <c r="G25" s="23" t="s">
        <v>671</v>
      </c>
      <c r="H25" s="23" t="s">
        <v>702</v>
      </c>
      <c r="I25" s="23" t="s">
        <v>178</v>
      </c>
      <c r="J25" s="23" t="s">
        <v>703</v>
      </c>
      <c r="K25" s="23" t="s">
        <v>27</v>
      </c>
      <c r="L25" s="23" t="s">
        <v>28</v>
      </c>
      <c r="M25" s="23" t="s">
        <v>27</v>
      </c>
      <c r="N25" s="23" t="s">
        <v>28</v>
      </c>
      <c r="O25" s="23" t="s">
        <v>34</v>
      </c>
      <c r="P25" s="23" t="s">
        <v>27</v>
      </c>
    </row>
    <row r="26" spans="1:16" ht="28.8" x14ac:dyDescent="0.3">
      <c r="A26" s="23">
        <v>25</v>
      </c>
      <c r="B26" s="23" t="s">
        <v>179</v>
      </c>
      <c r="C26" s="23" t="s">
        <v>180</v>
      </c>
      <c r="D26" s="23">
        <v>2017</v>
      </c>
      <c r="E26" s="23" t="s">
        <v>181</v>
      </c>
      <c r="F26" s="23" t="s">
        <v>670</v>
      </c>
      <c r="G26" s="23" t="s">
        <v>671</v>
      </c>
      <c r="H26" s="23" t="s">
        <v>704</v>
      </c>
      <c r="I26" s="23" t="s">
        <v>183</v>
      </c>
      <c r="J26" s="23" t="s">
        <v>38</v>
      </c>
      <c r="K26" s="23" t="s">
        <v>29</v>
      </c>
      <c r="L26" s="23" t="s">
        <v>675</v>
      </c>
      <c r="M26" s="23" t="s">
        <v>27</v>
      </c>
      <c r="N26" s="23" t="s">
        <v>28</v>
      </c>
      <c r="O26" s="23" t="s">
        <v>34</v>
      </c>
      <c r="P26" s="23" t="s">
        <v>27</v>
      </c>
    </row>
    <row r="27" spans="1:16" ht="28.8" x14ac:dyDescent="0.3">
      <c r="A27" s="23">
        <v>26</v>
      </c>
      <c r="B27" s="23" t="s">
        <v>184</v>
      </c>
      <c r="C27" s="23" t="s">
        <v>185</v>
      </c>
      <c r="D27" s="23">
        <v>2023</v>
      </c>
      <c r="E27" s="23" t="s">
        <v>186</v>
      </c>
      <c r="F27" s="23" t="s">
        <v>28</v>
      </c>
      <c r="G27" s="23" t="s">
        <v>690</v>
      </c>
      <c r="H27" s="23" t="s">
        <v>701</v>
      </c>
      <c r="I27" s="23" t="s">
        <v>705</v>
      </c>
      <c r="J27" s="23" t="s">
        <v>85</v>
      </c>
      <c r="K27" s="23" t="s">
        <v>29</v>
      </c>
      <c r="L27" s="23" t="s">
        <v>675</v>
      </c>
      <c r="M27" s="23" t="s">
        <v>27</v>
      </c>
      <c r="N27" s="23" t="s">
        <v>28</v>
      </c>
      <c r="O27" s="23" t="s">
        <v>34</v>
      </c>
      <c r="P27" s="23" t="s">
        <v>27</v>
      </c>
    </row>
    <row r="28" spans="1:16" ht="57.6" x14ac:dyDescent="0.3">
      <c r="A28" s="23">
        <v>27</v>
      </c>
      <c r="B28" s="23" t="s">
        <v>188</v>
      </c>
      <c r="C28" s="23" t="s">
        <v>189</v>
      </c>
      <c r="D28" s="23">
        <v>2023</v>
      </c>
      <c r="E28" s="23" t="s">
        <v>190</v>
      </c>
      <c r="F28" s="23" t="s">
        <v>670</v>
      </c>
      <c r="G28" s="23" t="s">
        <v>663</v>
      </c>
      <c r="H28" s="23" t="s">
        <v>706</v>
      </c>
      <c r="I28" s="23" t="s">
        <v>193</v>
      </c>
      <c r="J28" s="23" t="s">
        <v>38</v>
      </c>
      <c r="K28" s="23" t="s">
        <v>29</v>
      </c>
      <c r="L28" s="23" t="s">
        <v>191</v>
      </c>
      <c r="M28" s="23" t="s">
        <v>27</v>
      </c>
      <c r="N28" s="23" t="s">
        <v>28</v>
      </c>
      <c r="O28" s="23" t="s">
        <v>34</v>
      </c>
      <c r="P28" s="23" t="s">
        <v>27</v>
      </c>
    </row>
    <row r="29" spans="1:16" ht="57.6" x14ac:dyDescent="0.3">
      <c r="A29" s="23">
        <v>28</v>
      </c>
      <c r="B29" s="23" t="s">
        <v>194</v>
      </c>
      <c r="C29" s="23" t="s">
        <v>195</v>
      </c>
      <c r="D29" s="23">
        <v>2019</v>
      </c>
      <c r="E29" s="23" t="s">
        <v>196</v>
      </c>
      <c r="F29" s="23" t="s">
        <v>25</v>
      </c>
      <c r="G29" s="23" t="s">
        <v>31</v>
      </c>
      <c r="H29" s="23" t="s">
        <v>197</v>
      </c>
      <c r="I29" s="23" t="s">
        <v>707</v>
      </c>
      <c r="J29" s="23" t="s">
        <v>708</v>
      </c>
      <c r="K29" s="23" t="s">
        <v>27</v>
      </c>
      <c r="L29" s="23" t="s">
        <v>28</v>
      </c>
      <c r="M29" s="23" t="s">
        <v>27</v>
      </c>
      <c r="N29" s="23" t="s">
        <v>28</v>
      </c>
      <c r="O29" s="23" t="s">
        <v>34</v>
      </c>
      <c r="P29" s="23" t="s">
        <v>27</v>
      </c>
    </row>
    <row r="30" spans="1:16" ht="43.2" x14ac:dyDescent="0.3">
      <c r="A30" s="23">
        <v>29</v>
      </c>
      <c r="B30" s="23" t="s">
        <v>199</v>
      </c>
      <c r="C30" s="23" t="s">
        <v>200</v>
      </c>
      <c r="D30" s="23">
        <v>2019</v>
      </c>
      <c r="E30" s="23" t="s">
        <v>201</v>
      </c>
      <c r="F30" s="23" t="s">
        <v>670</v>
      </c>
      <c r="G30" s="23" t="s">
        <v>31</v>
      </c>
      <c r="H30" s="23" t="s">
        <v>709</v>
      </c>
      <c r="I30" s="23" t="s">
        <v>204</v>
      </c>
      <c r="J30" s="23" t="s">
        <v>38</v>
      </c>
      <c r="K30" s="23" t="s">
        <v>29</v>
      </c>
      <c r="L30" s="23" t="s">
        <v>202</v>
      </c>
      <c r="M30" s="23" t="s">
        <v>27</v>
      </c>
      <c r="N30" s="23" t="s">
        <v>28</v>
      </c>
      <c r="O30" s="23" t="s">
        <v>34</v>
      </c>
      <c r="P30" s="23" t="s">
        <v>27</v>
      </c>
    </row>
    <row r="31" spans="1:16" ht="86.4" x14ac:dyDescent="0.3">
      <c r="A31" s="23">
        <v>30</v>
      </c>
      <c r="B31" s="23" t="s">
        <v>205</v>
      </c>
      <c r="C31" s="23" t="s">
        <v>206</v>
      </c>
      <c r="D31" s="23">
        <v>2020</v>
      </c>
      <c r="E31" s="23" t="s">
        <v>207</v>
      </c>
      <c r="F31" s="23" t="s">
        <v>670</v>
      </c>
      <c r="G31" s="23" t="s">
        <v>658</v>
      </c>
      <c r="H31" s="23" t="s">
        <v>208</v>
      </c>
      <c r="I31" s="23" t="s">
        <v>204</v>
      </c>
      <c r="J31" s="23" t="s">
        <v>38</v>
      </c>
      <c r="K31" s="23" t="s">
        <v>27</v>
      </c>
      <c r="L31" s="23" t="s">
        <v>28</v>
      </c>
      <c r="M31" s="23" t="s">
        <v>27</v>
      </c>
      <c r="N31" s="23" t="s">
        <v>28</v>
      </c>
      <c r="O31" s="23" t="s">
        <v>34</v>
      </c>
      <c r="P31" s="23" t="s">
        <v>27</v>
      </c>
    </row>
    <row r="32" spans="1:16" ht="43.2" x14ac:dyDescent="0.3">
      <c r="A32" s="23">
        <v>31</v>
      </c>
      <c r="B32" s="23" t="s">
        <v>209</v>
      </c>
      <c r="C32" s="23" t="s">
        <v>210</v>
      </c>
      <c r="D32" s="23">
        <v>2018</v>
      </c>
      <c r="E32" s="23" t="s">
        <v>211</v>
      </c>
      <c r="F32" s="23" t="s">
        <v>670</v>
      </c>
      <c r="G32" s="23" t="s">
        <v>31</v>
      </c>
      <c r="H32" s="23" t="s">
        <v>710</v>
      </c>
      <c r="I32" s="23" t="s">
        <v>711</v>
      </c>
      <c r="J32" s="23" t="s">
        <v>708</v>
      </c>
      <c r="K32" s="23" t="s">
        <v>29</v>
      </c>
      <c r="L32" s="23" t="s">
        <v>212</v>
      </c>
      <c r="M32" s="23" t="s">
        <v>27</v>
      </c>
      <c r="N32" s="23" t="s">
        <v>28</v>
      </c>
      <c r="O32" s="23" t="s">
        <v>34</v>
      </c>
      <c r="P32" s="23" t="s">
        <v>27</v>
      </c>
    </row>
    <row r="33" spans="1:16" ht="57.6" x14ac:dyDescent="0.3">
      <c r="A33" s="23">
        <v>32</v>
      </c>
      <c r="B33" s="23" t="s">
        <v>215</v>
      </c>
      <c r="C33" s="23" t="s">
        <v>216</v>
      </c>
      <c r="D33" s="23">
        <v>2020</v>
      </c>
      <c r="E33" s="23" t="s">
        <v>217</v>
      </c>
      <c r="F33" s="23" t="s">
        <v>39</v>
      </c>
      <c r="G33" s="23" t="s">
        <v>31</v>
      </c>
      <c r="H33" s="23" t="s">
        <v>710</v>
      </c>
      <c r="I33" s="23" t="s">
        <v>193</v>
      </c>
      <c r="J33" s="23" t="s">
        <v>38</v>
      </c>
      <c r="K33" s="23" t="s">
        <v>27</v>
      </c>
      <c r="L33" s="23" t="s">
        <v>28</v>
      </c>
      <c r="M33" s="23" t="s">
        <v>27</v>
      </c>
      <c r="N33" s="23" t="s">
        <v>28</v>
      </c>
      <c r="O33" s="23" t="s">
        <v>34</v>
      </c>
      <c r="P33" s="23" t="s">
        <v>27</v>
      </c>
    </row>
    <row r="34" spans="1:16" ht="57.6" x14ac:dyDescent="0.3">
      <c r="A34" s="23">
        <v>33</v>
      </c>
      <c r="B34" s="23" t="s">
        <v>218</v>
      </c>
      <c r="C34" s="23" t="s">
        <v>219</v>
      </c>
      <c r="D34" s="23">
        <v>2024</v>
      </c>
      <c r="E34" s="23" t="s">
        <v>220</v>
      </c>
      <c r="F34" s="23" t="s">
        <v>712</v>
      </c>
      <c r="G34" s="23" t="s">
        <v>713</v>
      </c>
      <c r="H34" s="23" t="s">
        <v>714</v>
      </c>
      <c r="I34" s="23" t="s">
        <v>223</v>
      </c>
      <c r="J34" s="23" t="s">
        <v>24</v>
      </c>
      <c r="K34" s="23" t="s">
        <v>27</v>
      </c>
      <c r="L34" s="23" t="s">
        <v>28</v>
      </c>
      <c r="M34" s="23" t="s">
        <v>27</v>
      </c>
      <c r="N34" s="23" t="s">
        <v>28</v>
      </c>
      <c r="O34" s="23" t="s">
        <v>34</v>
      </c>
      <c r="P34" s="23" t="s">
        <v>27</v>
      </c>
    </row>
    <row r="35" spans="1:16" ht="57.6" x14ac:dyDescent="0.3">
      <c r="A35" s="23">
        <v>34</v>
      </c>
      <c r="B35" s="23" t="s">
        <v>224</v>
      </c>
      <c r="C35" s="23" t="s">
        <v>225</v>
      </c>
      <c r="D35" s="23">
        <v>2025</v>
      </c>
      <c r="E35" s="23" t="s">
        <v>226</v>
      </c>
      <c r="F35" s="23" t="s">
        <v>39</v>
      </c>
      <c r="G35" s="23" t="s">
        <v>31</v>
      </c>
      <c r="H35" s="23" t="s">
        <v>715</v>
      </c>
      <c r="I35" s="23" t="s">
        <v>227</v>
      </c>
      <c r="J35" s="23" t="s">
        <v>38</v>
      </c>
      <c r="K35" s="23" t="s">
        <v>29</v>
      </c>
      <c r="L35" s="23" t="s">
        <v>191</v>
      </c>
      <c r="M35" s="23" t="s">
        <v>27</v>
      </c>
      <c r="N35" s="23" t="s">
        <v>28</v>
      </c>
      <c r="O35" s="23" t="s">
        <v>34</v>
      </c>
      <c r="P35" s="23" t="s">
        <v>27</v>
      </c>
    </row>
    <row r="36" spans="1:16" ht="43.2" x14ac:dyDescent="0.3">
      <c r="A36" s="23">
        <v>35</v>
      </c>
      <c r="B36" s="23" t="s">
        <v>228</v>
      </c>
      <c r="C36" s="23" t="s">
        <v>229</v>
      </c>
      <c r="D36" s="23">
        <v>2021</v>
      </c>
      <c r="E36" s="23" t="s">
        <v>230</v>
      </c>
      <c r="F36" s="23" t="s">
        <v>716</v>
      </c>
      <c r="G36" s="23" t="s">
        <v>31</v>
      </c>
      <c r="H36" s="23" t="s">
        <v>717</v>
      </c>
      <c r="I36" s="23" t="s">
        <v>233</v>
      </c>
      <c r="J36" s="23" t="s">
        <v>718</v>
      </c>
      <c r="K36" s="23" t="s">
        <v>27</v>
      </c>
      <c r="L36" s="23" t="s">
        <v>28</v>
      </c>
      <c r="M36" s="23" t="s">
        <v>29</v>
      </c>
      <c r="N36" s="23" t="s">
        <v>231</v>
      </c>
      <c r="O36" s="23" t="s">
        <v>34</v>
      </c>
      <c r="P36" s="23" t="s">
        <v>27</v>
      </c>
    </row>
    <row r="37" spans="1:16" ht="57.6" x14ac:dyDescent="0.3">
      <c r="A37" s="23">
        <v>36</v>
      </c>
      <c r="B37" s="23" t="s">
        <v>234</v>
      </c>
      <c r="C37" s="23" t="s">
        <v>235</v>
      </c>
      <c r="D37" s="23">
        <v>2020</v>
      </c>
      <c r="E37" s="23" t="s">
        <v>236</v>
      </c>
      <c r="F37" s="23" t="s">
        <v>237</v>
      </c>
      <c r="G37" s="23" t="s">
        <v>671</v>
      </c>
      <c r="H37" s="23" t="s">
        <v>719</v>
      </c>
      <c r="I37" s="23" t="s">
        <v>720</v>
      </c>
      <c r="J37" s="23" t="s">
        <v>708</v>
      </c>
      <c r="K37" s="23" t="s">
        <v>27</v>
      </c>
      <c r="L37" s="23" t="s">
        <v>28</v>
      </c>
      <c r="M37" s="23" t="s">
        <v>27</v>
      </c>
      <c r="N37" s="23" t="s">
        <v>28</v>
      </c>
      <c r="O37" s="23" t="s">
        <v>34</v>
      </c>
      <c r="P37" s="23" t="s">
        <v>27</v>
      </c>
    </row>
    <row r="38" spans="1:16" ht="43.2" x14ac:dyDescent="0.3">
      <c r="A38" s="23">
        <v>37</v>
      </c>
      <c r="B38" s="23" t="s">
        <v>240</v>
      </c>
      <c r="C38" s="23" t="s">
        <v>241</v>
      </c>
      <c r="D38" s="23">
        <v>2021</v>
      </c>
      <c r="E38" s="23" t="s">
        <v>242</v>
      </c>
      <c r="F38" s="23" t="s">
        <v>244</v>
      </c>
      <c r="G38" s="23" t="s">
        <v>671</v>
      </c>
      <c r="H38" s="23" t="s">
        <v>721</v>
      </c>
      <c r="I38" s="23" t="s">
        <v>722</v>
      </c>
      <c r="J38" s="23" t="s">
        <v>243</v>
      </c>
      <c r="K38" s="23" t="s">
        <v>27</v>
      </c>
      <c r="L38" s="23" t="s">
        <v>28</v>
      </c>
      <c r="M38" s="23" t="s">
        <v>65</v>
      </c>
      <c r="N38" s="23" t="s">
        <v>28</v>
      </c>
      <c r="O38" s="23" t="s">
        <v>34</v>
      </c>
      <c r="P38" s="23" t="s">
        <v>27</v>
      </c>
    </row>
    <row r="39" spans="1:16" ht="72" x14ac:dyDescent="0.3">
      <c r="A39" s="23">
        <v>38</v>
      </c>
      <c r="B39" s="23" t="s">
        <v>247</v>
      </c>
      <c r="C39" s="23" t="s">
        <v>248</v>
      </c>
      <c r="D39" s="23">
        <v>2022</v>
      </c>
      <c r="E39" s="23" t="s">
        <v>249</v>
      </c>
      <c r="F39" s="23" t="s">
        <v>244</v>
      </c>
      <c r="G39" s="23" t="s">
        <v>31</v>
      </c>
      <c r="H39" s="23" t="s">
        <v>723</v>
      </c>
      <c r="I39" s="23" t="s">
        <v>251</v>
      </c>
      <c r="J39" s="23" t="s">
        <v>669</v>
      </c>
      <c r="K39" s="23" t="s">
        <v>27</v>
      </c>
      <c r="L39" s="23" t="s">
        <v>28</v>
      </c>
      <c r="M39" s="23" t="s">
        <v>27</v>
      </c>
      <c r="N39" s="23" t="s">
        <v>28</v>
      </c>
      <c r="O39" s="23" t="s">
        <v>34</v>
      </c>
      <c r="P39" s="23" t="s">
        <v>27</v>
      </c>
    </row>
    <row r="40" spans="1:16" ht="57.6" x14ac:dyDescent="0.3">
      <c r="A40" s="23">
        <v>39</v>
      </c>
      <c r="B40" s="23" t="s">
        <v>252</v>
      </c>
      <c r="C40" s="23" t="s">
        <v>253</v>
      </c>
      <c r="D40" s="23">
        <v>2023</v>
      </c>
      <c r="E40" s="23" t="s">
        <v>254</v>
      </c>
      <c r="F40" s="23" t="s">
        <v>244</v>
      </c>
      <c r="G40" s="23" t="s">
        <v>676</v>
      </c>
      <c r="H40" s="23" t="s">
        <v>723</v>
      </c>
      <c r="I40" s="23" t="s">
        <v>255</v>
      </c>
      <c r="J40" s="23" t="s">
        <v>724</v>
      </c>
      <c r="K40" s="23" t="s">
        <v>27</v>
      </c>
      <c r="L40" s="23" t="s">
        <v>28</v>
      </c>
      <c r="M40" s="23" t="s">
        <v>27</v>
      </c>
      <c r="N40" s="23" t="s">
        <v>28</v>
      </c>
      <c r="O40" s="23" t="s">
        <v>34</v>
      </c>
      <c r="P40" s="23" t="s">
        <v>29</v>
      </c>
    </row>
    <row r="41" spans="1:16" ht="43.2" x14ac:dyDescent="0.3">
      <c r="A41" s="23">
        <v>40</v>
      </c>
      <c r="B41" s="23" t="s">
        <v>256</v>
      </c>
      <c r="C41" s="23" t="s">
        <v>257</v>
      </c>
      <c r="D41" s="23">
        <v>2023</v>
      </c>
      <c r="E41" s="23" t="s">
        <v>258</v>
      </c>
      <c r="F41" s="23" t="s">
        <v>28</v>
      </c>
      <c r="G41" s="23" t="s">
        <v>31</v>
      </c>
      <c r="H41" s="23" t="s">
        <v>725</v>
      </c>
      <c r="I41" s="23" t="s">
        <v>193</v>
      </c>
      <c r="J41" s="23" t="s">
        <v>62</v>
      </c>
      <c r="K41" s="23" t="s">
        <v>27</v>
      </c>
      <c r="L41" s="23" t="s">
        <v>28</v>
      </c>
      <c r="M41" s="23" t="s">
        <v>27</v>
      </c>
      <c r="N41" s="23" t="s">
        <v>28</v>
      </c>
      <c r="O41" s="23" t="s">
        <v>34</v>
      </c>
      <c r="P41" s="23" t="s">
        <v>27</v>
      </c>
    </row>
    <row r="42" spans="1:16" ht="72" x14ac:dyDescent="0.3">
      <c r="A42" s="23">
        <v>41</v>
      </c>
      <c r="B42" s="23" t="s">
        <v>260</v>
      </c>
      <c r="C42" s="23" t="s">
        <v>261</v>
      </c>
      <c r="D42" s="23">
        <v>2020</v>
      </c>
      <c r="E42" s="23" t="s">
        <v>262</v>
      </c>
      <c r="F42" s="23" t="s">
        <v>670</v>
      </c>
      <c r="G42" s="23" t="s">
        <v>690</v>
      </c>
      <c r="H42" s="23" t="s">
        <v>726</v>
      </c>
      <c r="I42" s="23" t="s">
        <v>727</v>
      </c>
      <c r="J42" s="23" t="s">
        <v>728</v>
      </c>
      <c r="K42" s="23" t="s">
        <v>27</v>
      </c>
      <c r="L42" s="23" t="s">
        <v>28</v>
      </c>
      <c r="M42" s="23" t="s">
        <v>27</v>
      </c>
      <c r="N42" s="23" t="s">
        <v>28</v>
      </c>
      <c r="O42" s="23" t="s">
        <v>34</v>
      </c>
      <c r="P42" s="23" t="s">
        <v>27</v>
      </c>
    </row>
    <row r="43" spans="1:16" ht="100.8" x14ac:dyDescent="0.3">
      <c r="A43" s="23">
        <v>42</v>
      </c>
      <c r="B43" s="23" t="s">
        <v>265</v>
      </c>
      <c r="C43" s="23" t="s">
        <v>266</v>
      </c>
      <c r="D43" s="23">
        <v>2021</v>
      </c>
      <c r="E43" s="23" t="s">
        <v>267</v>
      </c>
      <c r="F43" s="23" t="s">
        <v>670</v>
      </c>
      <c r="G43" s="23" t="s">
        <v>31</v>
      </c>
      <c r="H43" s="23" t="s">
        <v>729</v>
      </c>
      <c r="I43" s="23" t="s">
        <v>52</v>
      </c>
      <c r="J43" s="23" t="s">
        <v>38</v>
      </c>
      <c r="K43" s="23" t="s">
        <v>27</v>
      </c>
      <c r="L43" s="23" t="s">
        <v>28</v>
      </c>
      <c r="M43" s="23" t="s">
        <v>27</v>
      </c>
      <c r="N43" s="23" t="s">
        <v>28</v>
      </c>
      <c r="O43" s="23" t="s">
        <v>34</v>
      </c>
      <c r="P43" s="23" t="s">
        <v>27</v>
      </c>
    </row>
    <row r="44" spans="1:16" ht="43.2" x14ac:dyDescent="0.3">
      <c r="A44" s="23">
        <v>43</v>
      </c>
      <c r="B44" s="23" t="s">
        <v>269</v>
      </c>
      <c r="C44" s="23" t="s">
        <v>270</v>
      </c>
      <c r="D44" s="23">
        <v>2021</v>
      </c>
      <c r="E44" s="23" t="s">
        <v>271</v>
      </c>
      <c r="F44" s="23" t="s">
        <v>670</v>
      </c>
      <c r="G44" s="23" t="s">
        <v>676</v>
      </c>
      <c r="H44" s="23" t="s">
        <v>730</v>
      </c>
      <c r="I44" s="23" t="s">
        <v>273</v>
      </c>
      <c r="J44" s="23" t="s">
        <v>731</v>
      </c>
      <c r="K44" s="23" t="s">
        <v>27</v>
      </c>
      <c r="L44" s="23" t="s">
        <v>28</v>
      </c>
      <c r="M44" s="23" t="s">
        <v>65</v>
      </c>
      <c r="N44" s="23" t="s">
        <v>28</v>
      </c>
      <c r="O44" s="23" t="s">
        <v>34</v>
      </c>
      <c r="P44" s="23" t="s">
        <v>27</v>
      </c>
    </row>
    <row r="45" spans="1:16" ht="57.6" x14ac:dyDescent="0.3">
      <c r="A45" s="23">
        <v>44</v>
      </c>
      <c r="B45" s="23" t="s">
        <v>274</v>
      </c>
      <c r="C45" s="23" t="s">
        <v>275</v>
      </c>
      <c r="D45" s="23">
        <v>2023</v>
      </c>
      <c r="E45" s="23" t="s">
        <v>276</v>
      </c>
      <c r="F45" s="23" t="s">
        <v>277</v>
      </c>
      <c r="G45" s="23" t="s">
        <v>671</v>
      </c>
      <c r="H45" s="23" t="s">
        <v>732</v>
      </c>
      <c r="I45" s="23" t="s">
        <v>733</v>
      </c>
      <c r="J45" s="23" t="s">
        <v>708</v>
      </c>
      <c r="K45" s="23" t="s">
        <v>29</v>
      </c>
      <c r="L45" s="23" t="s">
        <v>278</v>
      </c>
      <c r="M45" s="23" t="s">
        <v>27</v>
      </c>
      <c r="N45" s="23" t="s">
        <v>28</v>
      </c>
      <c r="O45" s="23" t="s">
        <v>34</v>
      </c>
      <c r="P45" s="23" t="s">
        <v>27</v>
      </c>
    </row>
    <row r="46" spans="1:16" ht="72" x14ac:dyDescent="0.3">
      <c r="A46" s="23">
        <v>45</v>
      </c>
      <c r="B46" s="23" t="s">
        <v>280</v>
      </c>
      <c r="C46" s="23" t="s">
        <v>281</v>
      </c>
      <c r="D46" s="23">
        <v>2023</v>
      </c>
      <c r="E46" s="23" t="s">
        <v>282</v>
      </c>
      <c r="F46" s="23" t="s">
        <v>101</v>
      </c>
      <c r="G46" s="23" t="s">
        <v>31</v>
      </c>
      <c r="H46" s="23" t="s">
        <v>734</v>
      </c>
      <c r="I46" s="23" t="s">
        <v>285</v>
      </c>
      <c r="J46" s="23" t="s">
        <v>38</v>
      </c>
      <c r="K46" s="23" t="s">
        <v>29</v>
      </c>
      <c r="L46" s="23" t="s">
        <v>283</v>
      </c>
      <c r="M46" s="23" t="s">
        <v>27</v>
      </c>
      <c r="N46" s="23" t="s">
        <v>28</v>
      </c>
      <c r="O46" s="23" t="s">
        <v>34</v>
      </c>
      <c r="P46" s="23" t="s">
        <v>27</v>
      </c>
    </row>
    <row r="47" spans="1:16" ht="57.6" x14ac:dyDescent="0.3">
      <c r="A47" s="23">
        <v>46</v>
      </c>
      <c r="B47" s="23" t="s">
        <v>286</v>
      </c>
      <c r="C47" s="23" t="s">
        <v>287</v>
      </c>
      <c r="D47" s="23">
        <v>2018</v>
      </c>
      <c r="E47" s="23" t="s">
        <v>288</v>
      </c>
      <c r="F47" s="23" t="s">
        <v>735</v>
      </c>
      <c r="G47" s="23" t="s">
        <v>736</v>
      </c>
      <c r="H47" s="23" t="s">
        <v>737</v>
      </c>
      <c r="I47" s="23" t="s">
        <v>738</v>
      </c>
      <c r="J47" s="23" t="s">
        <v>85</v>
      </c>
      <c r="K47" s="23" t="s">
        <v>27</v>
      </c>
      <c r="L47" s="23" t="s">
        <v>28</v>
      </c>
      <c r="M47" s="23" t="s">
        <v>27</v>
      </c>
      <c r="N47" s="23" t="s">
        <v>28</v>
      </c>
      <c r="O47" s="23" t="s">
        <v>34</v>
      </c>
      <c r="P47" s="23" t="s">
        <v>27</v>
      </c>
    </row>
    <row r="48" spans="1:16" ht="28.8" x14ac:dyDescent="0.3">
      <c r="A48" s="23">
        <v>47</v>
      </c>
      <c r="B48" s="23" t="s">
        <v>293</v>
      </c>
      <c r="C48" s="23" t="s">
        <v>294</v>
      </c>
      <c r="D48" s="23">
        <v>2020</v>
      </c>
      <c r="E48" s="23" t="s">
        <v>295</v>
      </c>
      <c r="F48" s="23" t="s">
        <v>296</v>
      </c>
      <c r="G48" s="23" t="s">
        <v>663</v>
      </c>
      <c r="H48" s="23" t="s">
        <v>739</v>
      </c>
      <c r="I48" s="23" t="s">
        <v>193</v>
      </c>
      <c r="J48" s="23" t="s">
        <v>38</v>
      </c>
      <c r="K48" s="23" t="s">
        <v>27</v>
      </c>
      <c r="L48" s="23" t="s">
        <v>28</v>
      </c>
      <c r="M48" s="23" t="s">
        <v>27</v>
      </c>
      <c r="N48" s="23" t="s">
        <v>28</v>
      </c>
      <c r="O48" s="23" t="s">
        <v>34</v>
      </c>
      <c r="P48" s="23" t="s">
        <v>27</v>
      </c>
    </row>
    <row r="49" spans="1:16" ht="43.2" x14ac:dyDescent="0.3">
      <c r="A49" s="23">
        <v>48</v>
      </c>
      <c r="B49" s="23" t="s">
        <v>297</v>
      </c>
      <c r="C49" s="23" t="s">
        <v>298</v>
      </c>
      <c r="D49" s="23">
        <v>2017</v>
      </c>
      <c r="E49" s="23" t="s">
        <v>299</v>
      </c>
      <c r="F49" s="23" t="s">
        <v>25</v>
      </c>
      <c r="G49" s="23" t="s">
        <v>671</v>
      </c>
      <c r="H49" s="23" t="s">
        <v>740</v>
      </c>
      <c r="I49" s="23" t="s">
        <v>302</v>
      </c>
      <c r="J49" s="23" t="s">
        <v>741</v>
      </c>
      <c r="K49" s="23" t="s">
        <v>29</v>
      </c>
      <c r="L49" s="23" t="s">
        <v>300</v>
      </c>
      <c r="M49" s="23" t="s">
        <v>27</v>
      </c>
      <c r="N49" s="23" t="s">
        <v>28</v>
      </c>
      <c r="O49" s="23" t="s">
        <v>34</v>
      </c>
      <c r="P49" s="23" t="s">
        <v>27</v>
      </c>
    </row>
    <row r="50" spans="1:16" ht="57.6" x14ac:dyDescent="0.3">
      <c r="A50" s="23">
        <v>49</v>
      </c>
      <c r="B50" s="23" t="s">
        <v>303</v>
      </c>
      <c r="C50" s="23" t="s">
        <v>304</v>
      </c>
      <c r="D50" s="23">
        <v>2025</v>
      </c>
      <c r="E50" s="23" t="s">
        <v>305</v>
      </c>
      <c r="F50" s="23" t="s">
        <v>39</v>
      </c>
      <c r="G50" s="23" t="s">
        <v>31</v>
      </c>
      <c r="H50" s="23" t="s">
        <v>742</v>
      </c>
      <c r="I50" s="23" t="s">
        <v>743</v>
      </c>
      <c r="J50" s="23" t="s">
        <v>38</v>
      </c>
      <c r="K50" s="23" t="s">
        <v>29</v>
      </c>
      <c r="L50" s="23" t="s">
        <v>744</v>
      </c>
      <c r="M50" s="23" t="s">
        <v>27</v>
      </c>
      <c r="N50" s="23" t="s">
        <v>28</v>
      </c>
      <c r="O50" s="23" t="s">
        <v>34</v>
      </c>
      <c r="P50" s="23" t="s">
        <v>27</v>
      </c>
    </row>
    <row r="51" spans="1:16" ht="57.6" x14ac:dyDescent="0.3">
      <c r="A51" s="23">
        <v>50</v>
      </c>
      <c r="B51" s="23" t="s">
        <v>308</v>
      </c>
      <c r="C51" s="23" t="s">
        <v>309</v>
      </c>
      <c r="D51" s="23">
        <v>2016</v>
      </c>
      <c r="E51" s="23" t="s">
        <v>310</v>
      </c>
      <c r="F51" s="23" t="s">
        <v>101</v>
      </c>
      <c r="G51" s="23" t="s">
        <v>31</v>
      </c>
      <c r="H51" s="23" t="s">
        <v>745</v>
      </c>
      <c r="I51" s="23" t="s">
        <v>312</v>
      </c>
      <c r="J51" s="23" t="s">
        <v>24</v>
      </c>
      <c r="K51" s="23" t="s">
        <v>27</v>
      </c>
      <c r="L51" s="23" t="s">
        <v>28</v>
      </c>
      <c r="M51" s="23" t="s">
        <v>27</v>
      </c>
      <c r="N51" s="23" t="s">
        <v>28</v>
      </c>
      <c r="O51" s="23" t="s">
        <v>34</v>
      </c>
      <c r="P51" s="23" t="s">
        <v>27</v>
      </c>
    </row>
    <row r="52" spans="1:16" ht="57.6" x14ac:dyDescent="0.3">
      <c r="A52" s="23">
        <v>51</v>
      </c>
      <c r="B52" s="23" t="s">
        <v>313</v>
      </c>
      <c r="C52" s="23" t="s">
        <v>314</v>
      </c>
      <c r="D52" s="23">
        <v>2020</v>
      </c>
      <c r="E52" s="23" t="s">
        <v>315</v>
      </c>
      <c r="F52" s="23" t="s">
        <v>670</v>
      </c>
      <c r="G52" s="23" t="s">
        <v>31</v>
      </c>
      <c r="H52" s="23" t="s">
        <v>746</v>
      </c>
      <c r="I52" s="23" t="s">
        <v>747</v>
      </c>
      <c r="J52" s="23" t="s">
        <v>38</v>
      </c>
      <c r="K52" s="23" t="s">
        <v>27</v>
      </c>
      <c r="L52" s="23" t="s">
        <v>28</v>
      </c>
      <c r="M52" s="23" t="s">
        <v>27</v>
      </c>
      <c r="N52" s="23" t="s">
        <v>28</v>
      </c>
      <c r="O52" s="23" t="s">
        <v>34</v>
      </c>
      <c r="P52" s="23" t="s">
        <v>27</v>
      </c>
    </row>
    <row r="53" spans="1:16" ht="72" x14ac:dyDescent="0.3">
      <c r="A53" s="23">
        <v>52</v>
      </c>
      <c r="B53" s="23" t="s">
        <v>318</v>
      </c>
      <c r="C53" s="23" t="s">
        <v>319</v>
      </c>
      <c r="D53" s="23">
        <v>2018</v>
      </c>
      <c r="E53" s="23" t="s">
        <v>320</v>
      </c>
      <c r="F53" s="23" t="s">
        <v>748</v>
      </c>
      <c r="G53" s="23" t="s">
        <v>31</v>
      </c>
      <c r="H53" s="23" t="s">
        <v>749</v>
      </c>
      <c r="I53" s="23" t="s">
        <v>750</v>
      </c>
      <c r="J53" s="23" t="s">
        <v>321</v>
      </c>
      <c r="K53" s="23" t="s">
        <v>29</v>
      </c>
      <c r="L53" s="23" t="s">
        <v>751</v>
      </c>
      <c r="M53" s="23" t="s">
        <v>27</v>
      </c>
      <c r="N53" s="23" t="s">
        <v>28</v>
      </c>
      <c r="O53" s="23" t="s">
        <v>34</v>
      </c>
      <c r="P53" s="23" t="s">
        <v>27</v>
      </c>
    </row>
    <row r="54" spans="1:16" ht="57.6" x14ac:dyDescent="0.3">
      <c r="A54" s="23">
        <v>53</v>
      </c>
      <c r="B54" s="23" t="s">
        <v>325</v>
      </c>
      <c r="C54" s="23" t="s">
        <v>326</v>
      </c>
      <c r="D54" s="23">
        <v>2024</v>
      </c>
      <c r="E54" s="23" t="s">
        <v>327</v>
      </c>
      <c r="F54" s="23" t="s">
        <v>666</v>
      </c>
      <c r="G54" s="23" t="s">
        <v>752</v>
      </c>
      <c r="H54" s="23" t="s">
        <v>753</v>
      </c>
      <c r="I54" s="23" t="s">
        <v>754</v>
      </c>
      <c r="J54" s="23" t="s">
        <v>755</v>
      </c>
      <c r="K54" s="23" t="s">
        <v>29</v>
      </c>
      <c r="L54" s="23" t="s">
        <v>744</v>
      </c>
      <c r="M54" s="23" t="s">
        <v>27</v>
      </c>
      <c r="N54" s="23" t="s">
        <v>28</v>
      </c>
      <c r="O54" s="23" t="s">
        <v>34</v>
      </c>
      <c r="P54" s="23" t="s">
        <v>27</v>
      </c>
    </row>
    <row r="55" spans="1:16" ht="57.6" x14ac:dyDescent="0.3">
      <c r="A55" s="23">
        <v>54</v>
      </c>
      <c r="B55" s="23" t="s">
        <v>331</v>
      </c>
      <c r="C55" s="23" t="s">
        <v>332</v>
      </c>
      <c r="D55" s="23">
        <v>2022</v>
      </c>
      <c r="E55" s="23" t="s">
        <v>333</v>
      </c>
      <c r="F55" s="23" t="s">
        <v>670</v>
      </c>
      <c r="G55" s="23" t="s">
        <v>671</v>
      </c>
      <c r="H55" s="23" t="s">
        <v>756</v>
      </c>
      <c r="I55" s="23" t="s">
        <v>757</v>
      </c>
      <c r="J55" s="23" t="s">
        <v>38</v>
      </c>
      <c r="K55" s="23" t="s">
        <v>29</v>
      </c>
      <c r="L55" s="23" t="s">
        <v>751</v>
      </c>
      <c r="M55" s="23" t="s">
        <v>27</v>
      </c>
      <c r="N55" s="23" t="s">
        <v>28</v>
      </c>
      <c r="O55" s="23" t="s">
        <v>34</v>
      </c>
      <c r="P55" s="23" t="s">
        <v>27</v>
      </c>
    </row>
    <row r="56" spans="1:16" ht="72" x14ac:dyDescent="0.3">
      <c r="A56" s="23">
        <v>55</v>
      </c>
      <c r="B56" s="23" t="s">
        <v>336</v>
      </c>
      <c r="C56" s="23" t="s">
        <v>337</v>
      </c>
      <c r="D56" s="23">
        <v>2023</v>
      </c>
      <c r="E56" s="23" t="s">
        <v>338</v>
      </c>
      <c r="F56" s="23" t="s">
        <v>670</v>
      </c>
      <c r="G56" s="23" t="s">
        <v>658</v>
      </c>
      <c r="H56" s="23" t="s">
        <v>758</v>
      </c>
      <c r="I56" s="23" t="s">
        <v>52</v>
      </c>
      <c r="J56" s="23" t="s">
        <v>665</v>
      </c>
      <c r="K56" s="23" t="s">
        <v>29</v>
      </c>
      <c r="L56" s="23" t="s">
        <v>759</v>
      </c>
      <c r="M56" s="23" t="s">
        <v>27</v>
      </c>
      <c r="N56" s="23" t="s">
        <v>28</v>
      </c>
      <c r="O56" s="23" t="s">
        <v>34</v>
      </c>
      <c r="P56" s="23" t="s">
        <v>27</v>
      </c>
    </row>
    <row r="57" spans="1:16" ht="86.4" x14ac:dyDescent="0.3">
      <c r="A57" s="23">
        <v>56</v>
      </c>
      <c r="B57" s="23" t="s">
        <v>341</v>
      </c>
      <c r="C57" s="23" t="s">
        <v>342</v>
      </c>
      <c r="D57" s="23">
        <v>2023</v>
      </c>
      <c r="E57" s="23" t="s">
        <v>343</v>
      </c>
      <c r="F57" s="23" t="s">
        <v>344</v>
      </c>
      <c r="G57" s="23" t="s">
        <v>760</v>
      </c>
      <c r="H57" s="23" t="s">
        <v>701</v>
      </c>
      <c r="I57" s="23" t="s">
        <v>346</v>
      </c>
      <c r="J57" s="23" t="s">
        <v>761</v>
      </c>
      <c r="K57" s="23" t="s">
        <v>27</v>
      </c>
      <c r="L57" s="23" t="s">
        <v>28</v>
      </c>
      <c r="M57" s="23" t="s">
        <v>27</v>
      </c>
      <c r="N57" s="23" t="s">
        <v>28</v>
      </c>
      <c r="O57" s="23" t="s">
        <v>34</v>
      </c>
      <c r="P57" s="23" t="s">
        <v>27</v>
      </c>
    </row>
    <row r="58" spans="1:16" ht="43.2" x14ac:dyDescent="0.3">
      <c r="A58" s="23">
        <v>57</v>
      </c>
      <c r="B58" s="23" t="s">
        <v>347</v>
      </c>
      <c r="C58" s="23" t="s">
        <v>348</v>
      </c>
      <c r="D58" s="23">
        <v>2021</v>
      </c>
      <c r="E58" s="23" t="s">
        <v>349</v>
      </c>
      <c r="F58" s="23" t="s">
        <v>101</v>
      </c>
      <c r="G58" s="23" t="s">
        <v>31</v>
      </c>
      <c r="H58" s="23" t="s">
        <v>701</v>
      </c>
      <c r="I58" s="23" t="s">
        <v>351</v>
      </c>
      <c r="J58" s="23" t="s">
        <v>762</v>
      </c>
      <c r="K58" s="23" t="s">
        <v>29</v>
      </c>
      <c r="L58" s="23" t="s">
        <v>350</v>
      </c>
      <c r="M58" s="23" t="s">
        <v>27</v>
      </c>
      <c r="N58" s="23" t="s">
        <v>28</v>
      </c>
      <c r="O58" s="23" t="s">
        <v>34</v>
      </c>
      <c r="P58" s="23" t="s">
        <v>27</v>
      </c>
    </row>
    <row r="59" spans="1:16" ht="57.6" x14ac:dyDescent="0.3">
      <c r="A59" s="23">
        <v>58</v>
      </c>
      <c r="B59" s="23" t="s">
        <v>347</v>
      </c>
      <c r="C59" s="23" t="s">
        <v>352</v>
      </c>
      <c r="D59" s="23">
        <v>2022</v>
      </c>
      <c r="E59" s="23" t="s">
        <v>353</v>
      </c>
      <c r="F59" s="23" t="s">
        <v>101</v>
      </c>
      <c r="G59" s="23" t="s">
        <v>31</v>
      </c>
      <c r="H59" s="23" t="s">
        <v>701</v>
      </c>
      <c r="I59" s="23" t="s">
        <v>354</v>
      </c>
      <c r="J59" s="23" t="s">
        <v>762</v>
      </c>
      <c r="K59" s="23" t="s">
        <v>29</v>
      </c>
      <c r="L59" s="23" t="s">
        <v>350</v>
      </c>
      <c r="M59" s="23" t="s">
        <v>27</v>
      </c>
      <c r="N59" s="23" t="s">
        <v>28</v>
      </c>
      <c r="O59" s="23" t="s">
        <v>34</v>
      </c>
      <c r="P59" s="23" t="s">
        <v>27</v>
      </c>
    </row>
    <row r="60" spans="1:16" ht="43.2" x14ac:dyDescent="0.3">
      <c r="A60" s="23">
        <v>59</v>
      </c>
      <c r="B60" s="23" t="s">
        <v>355</v>
      </c>
      <c r="C60" s="23" t="s">
        <v>356</v>
      </c>
      <c r="D60" s="23">
        <v>2023</v>
      </c>
      <c r="E60" s="23" t="s">
        <v>357</v>
      </c>
      <c r="F60" s="23" t="s">
        <v>358</v>
      </c>
      <c r="G60" s="23" t="s">
        <v>690</v>
      </c>
      <c r="H60" s="23" t="s">
        <v>763</v>
      </c>
      <c r="I60" s="23" t="s">
        <v>764</v>
      </c>
      <c r="J60" s="23" t="s">
        <v>761</v>
      </c>
      <c r="K60" s="23" t="s">
        <v>27</v>
      </c>
      <c r="L60" s="23" t="s">
        <v>28</v>
      </c>
      <c r="M60" s="23" t="s">
        <v>27</v>
      </c>
      <c r="N60" s="23" t="s">
        <v>28</v>
      </c>
      <c r="O60" s="23" t="s">
        <v>34</v>
      </c>
      <c r="P60" s="23" t="s">
        <v>27</v>
      </c>
    </row>
    <row r="61" spans="1:16" ht="43.2" x14ac:dyDescent="0.3">
      <c r="A61" s="23">
        <v>60</v>
      </c>
      <c r="B61" s="23" t="s">
        <v>361</v>
      </c>
      <c r="C61" s="23" t="s">
        <v>362</v>
      </c>
      <c r="D61" s="23">
        <v>2022</v>
      </c>
      <c r="E61" s="23" t="s">
        <v>363</v>
      </c>
      <c r="F61" s="23" t="s">
        <v>765</v>
      </c>
      <c r="G61" s="23" t="s">
        <v>690</v>
      </c>
      <c r="H61" s="23" t="s">
        <v>740</v>
      </c>
      <c r="I61" s="23" t="s">
        <v>52</v>
      </c>
      <c r="J61" s="23" t="s">
        <v>762</v>
      </c>
      <c r="K61" s="23" t="s">
        <v>27</v>
      </c>
      <c r="L61" s="23" t="s">
        <v>28</v>
      </c>
      <c r="M61" s="23" t="s">
        <v>27</v>
      </c>
      <c r="N61" s="23" t="s">
        <v>28</v>
      </c>
      <c r="O61" s="23" t="s">
        <v>34</v>
      </c>
      <c r="P61" s="23" t="s">
        <v>27</v>
      </c>
    </row>
    <row r="62" spans="1:16" ht="72" x14ac:dyDescent="0.3">
      <c r="A62" s="23">
        <v>61</v>
      </c>
      <c r="B62" s="23" t="s">
        <v>365</v>
      </c>
      <c r="C62" s="23" t="s">
        <v>366</v>
      </c>
      <c r="D62" s="23">
        <v>2024</v>
      </c>
      <c r="E62" s="23" t="s">
        <v>367</v>
      </c>
      <c r="F62" s="23" t="s">
        <v>28</v>
      </c>
      <c r="G62" s="23" t="s">
        <v>31</v>
      </c>
      <c r="H62" s="23" t="s">
        <v>368</v>
      </c>
      <c r="I62" s="23" t="s">
        <v>369</v>
      </c>
      <c r="J62" s="23" t="s">
        <v>761</v>
      </c>
      <c r="K62" s="23" t="s">
        <v>27</v>
      </c>
      <c r="L62" s="23" t="s">
        <v>28</v>
      </c>
      <c r="M62" s="23" t="s">
        <v>27</v>
      </c>
      <c r="N62" s="23" t="s">
        <v>28</v>
      </c>
      <c r="O62" s="23" t="s">
        <v>34</v>
      </c>
      <c r="P62" s="23" t="s">
        <v>27</v>
      </c>
    </row>
    <row r="63" spans="1:16" ht="57.6" x14ac:dyDescent="0.3">
      <c r="A63" s="23">
        <v>62</v>
      </c>
      <c r="B63" s="23" t="s">
        <v>370</v>
      </c>
      <c r="C63" s="23" t="s">
        <v>371</v>
      </c>
      <c r="D63" s="23">
        <v>2019</v>
      </c>
      <c r="E63" s="23" t="s">
        <v>372</v>
      </c>
      <c r="F63" s="23" t="s">
        <v>373</v>
      </c>
      <c r="G63" s="23" t="s">
        <v>31</v>
      </c>
      <c r="H63" s="23" t="s">
        <v>374</v>
      </c>
      <c r="I63" s="23" t="s">
        <v>375</v>
      </c>
      <c r="J63" s="23" t="s">
        <v>38</v>
      </c>
      <c r="K63" s="23" t="s">
        <v>27</v>
      </c>
      <c r="L63" s="23" t="s">
        <v>28</v>
      </c>
      <c r="M63" s="23" t="s">
        <v>27</v>
      </c>
      <c r="N63" s="23" t="s">
        <v>28</v>
      </c>
      <c r="O63" s="23" t="s">
        <v>34</v>
      </c>
      <c r="P63" s="23" t="s">
        <v>27</v>
      </c>
    </row>
    <row r="64" spans="1:16" ht="43.2" x14ac:dyDescent="0.3">
      <c r="A64" s="23">
        <v>63</v>
      </c>
      <c r="B64" s="23" t="s">
        <v>376</v>
      </c>
      <c r="C64" s="23" t="s">
        <v>377</v>
      </c>
      <c r="D64" s="23">
        <v>2017</v>
      </c>
      <c r="E64" s="23" t="s">
        <v>378</v>
      </c>
      <c r="F64" s="23" t="s">
        <v>670</v>
      </c>
      <c r="G64" s="23" t="s">
        <v>671</v>
      </c>
      <c r="H64" s="23" t="s">
        <v>710</v>
      </c>
      <c r="I64" s="23" t="s">
        <v>379</v>
      </c>
      <c r="J64" s="23" t="s">
        <v>38</v>
      </c>
      <c r="K64" s="23" t="s">
        <v>29</v>
      </c>
      <c r="L64" s="23" t="s">
        <v>191</v>
      </c>
      <c r="M64" s="23" t="s">
        <v>27</v>
      </c>
      <c r="N64" s="23" t="s">
        <v>28</v>
      </c>
      <c r="O64" s="23" t="s">
        <v>34</v>
      </c>
      <c r="P64" s="23" t="s">
        <v>27</v>
      </c>
    </row>
    <row r="65" spans="1:16" ht="57.6" x14ac:dyDescent="0.3">
      <c r="A65" s="23">
        <v>64</v>
      </c>
      <c r="B65" s="23" t="s">
        <v>380</v>
      </c>
      <c r="C65" s="23" t="s">
        <v>381</v>
      </c>
      <c r="D65" s="23">
        <v>2017</v>
      </c>
      <c r="E65" s="23" t="s">
        <v>382</v>
      </c>
      <c r="F65" s="23" t="s">
        <v>670</v>
      </c>
      <c r="G65" s="23" t="s">
        <v>676</v>
      </c>
      <c r="H65" s="23" t="s">
        <v>383</v>
      </c>
      <c r="I65" s="23" t="s">
        <v>384</v>
      </c>
      <c r="J65" s="23" t="s">
        <v>85</v>
      </c>
      <c r="K65" s="23" t="s">
        <v>27</v>
      </c>
      <c r="L65" s="23" t="s">
        <v>28</v>
      </c>
      <c r="M65" s="23" t="s">
        <v>27</v>
      </c>
      <c r="N65" s="23" t="s">
        <v>28</v>
      </c>
      <c r="O65" s="23" t="s">
        <v>34</v>
      </c>
      <c r="P65" s="23" t="s">
        <v>27</v>
      </c>
    </row>
    <row r="66" spans="1:16" ht="43.2" x14ac:dyDescent="0.3">
      <c r="A66" s="23">
        <v>65</v>
      </c>
      <c r="B66" s="23" t="s">
        <v>385</v>
      </c>
      <c r="C66" s="23" t="s">
        <v>386</v>
      </c>
      <c r="D66" s="23">
        <v>2025</v>
      </c>
      <c r="E66" s="23" t="s">
        <v>387</v>
      </c>
      <c r="F66" s="23" t="s">
        <v>766</v>
      </c>
      <c r="G66" s="23" t="s">
        <v>663</v>
      </c>
      <c r="H66" s="23" t="s">
        <v>701</v>
      </c>
      <c r="I66" s="23" t="s">
        <v>389</v>
      </c>
      <c r="J66" s="23" t="s">
        <v>38</v>
      </c>
      <c r="K66" s="23" t="s">
        <v>27</v>
      </c>
      <c r="L66" s="23" t="s">
        <v>28</v>
      </c>
      <c r="M66" s="23" t="s">
        <v>27</v>
      </c>
      <c r="N66" s="23" t="s">
        <v>28</v>
      </c>
      <c r="O66" s="23" t="s">
        <v>34</v>
      </c>
      <c r="P66" s="23" t="s">
        <v>27</v>
      </c>
    </row>
    <row r="67" spans="1:16" ht="43.2" x14ac:dyDescent="0.3">
      <c r="A67" s="23">
        <v>66</v>
      </c>
      <c r="B67" s="23" t="s">
        <v>390</v>
      </c>
      <c r="C67" s="23" t="s">
        <v>391</v>
      </c>
      <c r="D67" s="23">
        <v>2025</v>
      </c>
      <c r="E67" s="23" t="s">
        <v>392</v>
      </c>
      <c r="F67" s="23" t="s">
        <v>322</v>
      </c>
      <c r="G67" s="23" t="s">
        <v>690</v>
      </c>
      <c r="H67" s="23" t="s">
        <v>28</v>
      </c>
      <c r="I67" s="23" t="s">
        <v>393</v>
      </c>
      <c r="J67" s="23" t="s">
        <v>321</v>
      </c>
      <c r="K67" s="23" t="s">
        <v>27</v>
      </c>
      <c r="L67" s="23" t="s">
        <v>28</v>
      </c>
      <c r="M67" s="23" t="s">
        <v>27</v>
      </c>
      <c r="N67" s="23" t="s">
        <v>28</v>
      </c>
      <c r="O67" s="23" t="s">
        <v>34</v>
      </c>
      <c r="P67" s="23" t="s">
        <v>27</v>
      </c>
    </row>
    <row r="68" spans="1:16" ht="57.6" x14ac:dyDescent="0.3">
      <c r="A68" s="23">
        <v>67</v>
      </c>
      <c r="B68" s="23" t="s">
        <v>394</v>
      </c>
      <c r="C68" s="23" t="s">
        <v>395</v>
      </c>
      <c r="D68" s="23">
        <v>2020</v>
      </c>
      <c r="E68" s="23" t="s">
        <v>396</v>
      </c>
      <c r="F68" s="23" t="s">
        <v>670</v>
      </c>
      <c r="G68" s="23" t="s">
        <v>671</v>
      </c>
      <c r="H68" s="23" t="s">
        <v>767</v>
      </c>
      <c r="I68" s="23" t="s">
        <v>768</v>
      </c>
      <c r="J68" s="23" t="s">
        <v>38</v>
      </c>
      <c r="K68" s="23" t="s">
        <v>29</v>
      </c>
      <c r="L68" s="23" t="s">
        <v>744</v>
      </c>
      <c r="M68" s="23" t="s">
        <v>27</v>
      </c>
      <c r="N68" s="23" t="s">
        <v>28</v>
      </c>
      <c r="O68" s="23" t="s">
        <v>34</v>
      </c>
      <c r="P68" s="23" t="s">
        <v>27</v>
      </c>
    </row>
    <row r="69" spans="1:16" ht="57.6" x14ac:dyDescent="0.3">
      <c r="A69" s="23">
        <v>68</v>
      </c>
      <c r="B69" s="23" t="s">
        <v>399</v>
      </c>
      <c r="C69" s="23" t="s">
        <v>400</v>
      </c>
      <c r="D69" s="23">
        <v>2019</v>
      </c>
      <c r="E69" s="23" t="s">
        <v>401</v>
      </c>
      <c r="F69" s="23" t="s">
        <v>670</v>
      </c>
      <c r="G69" s="23" t="s">
        <v>671</v>
      </c>
      <c r="H69" s="23" t="s">
        <v>769</v>
      </c>
      <c r="I69" s="23" t="s">
        <v>770</v>
      </c>
      <c r="J69" s="23" t="s">
        <v>771</v>
      </c>
      <c r="K69" s="23" t="s">
        <v>29</v>
      </c>
      <c r="L69" s="23" t="s">
        <v>744</v>
      </c>
      <c r="M69" s="23" t="s">
        <v>27</v>
      </c>
      <c r="N69" s="23" t="s">
        <v>28</v>
      </c>
      <c r="O69" s="23" t="s">
        <v>34</v>
      </c>
      <c r="P69" s="23" t="s">
        <v>27</v>
      </c>
    </row>
    <row r="70" spans="1:16" ht="43.2" x14ac:dyDescent="0.3">
      <c r="A70" s="23">
        <v>69</v>
      </c>
      <c r="B70" s="23" t="s">
        <v>403</v>
      </c>
      <c r="C70" s="23" t="s">
        <v>404</v>
      </c>
      <c r="D70" s="23">
        <v>2019</v>
      </c>
      <c r="E70" s="23" t="s">
        <v>405</v>
      </c>
      <c r="F70" s="23" t="s">
        <v>670</v>
      </c>
      <c r="G70" s="23" t="s">
        <v>671</v>
      </c>
      <c r="H70" s="23" t="s">
        <v>772</v>
      </c>
      <c r="I70" s="23" t="s">
        <v>770</v>
      </c>
      <c r="J70" s="23" t="s">
        <v>708</v>
      </c>
      <c r="K70" s="23" t="s">
        <v>27</v>
      </c>
      <c r="L70" s="23" t="s">
        <v>28</v>
      </c>
      <c r="M70" s="23" t="s">
        <v>27</v>
      </c>
      <c r="N70" s="23" t="s">
        <v>28</v>
      </c>
      <c r="O70" s="23" t="s">
        <v>34</v>
      </c>
      <c r="P70" s="23" t="s">
        <v>27</v>
      </c>
    </row>
    <row r="71" spans="1:16" ht="57.6" x14ac:dyDescent="0.3">
      <c r="A71" s="23">
        <v>70</v>
      </c>
      <c r="B71" s="23" t="s">
        <v>407</v>
      </c>
      <c r="C71" s="23" t="s">
        <v>408</v>
      </c>
      <c r="D71" s="23">
        <v>2021</v>
      </c>
      <c r="E71" s="23" t="s">
        <v>409</v>
      </c>
      <c r="F71" s="23" t="s">
        <v>670</v>
      </c>
      <c r="G71" s="23" t="s">
        <v>676</v>
      </c>
      <c r="H71" s="23" t="s">
        <v>197</v>
      </c>
      <c r="I71" s="23" t="s">
        <v>116</v>
      </c>
      <c r="J71" s="23" t="s">
        <v>773</v>
      </c>
      <c r="K71" s="23" t="s">
        <v>27</v>
      </c>
      <c r="L71" s="23" t="s">
        <v>28</v>
      </c>
      <c r="M71" s="23" t="s">
        <v>27</v>
      </c>
      <c r="N71" s="23" t="s">
        <v>28</v>
      </c>
      <c r="O71" s="23" t="s">
        <v>34</v>
      </c>
      <c r="P71" s="23" t="s">
        <v>27</v>
      </c>
    </row>
    <row r="72" spans="1:16" ht="57.6" x14ac:dyDescent="0.3">
      <c r="A72" s="23">
        <v>71</v>
      </c>
      <c r="B72" s="23" t="s">
        <v>410</v>
      </c>
      <c r="C72" s="23" t="s">
        <v>411</v>
      </c>
      <c r="D72" s="23">
        <v>2024</v>
      </c>
      <c r="E72" s="23" t="s">
        <v>412</v>
      </c>
      <c r="F72" s="23" t="s">
        <v>670</v>
      </c>
      <c r="G72" s="23" t="s">
        <v>676</v>
      </c>
      <c r="H72" s="23" t="s">
        <v>774</v>
      </c>
      <c r="I72" s="23" t="s">
        <v>775</v>
      </c>
      <c r="J72" s="23" t="s">
        <v>38</v>
      </c>
      <c r="K72" s="23" t="s">
        <v>27</v>
      </c>
      <c r="L72" s="23" t="s">
        <v>28</v>
      </c>
      <c r="M72" s="23" t="s">
        <v>27</v>
      </c>
      <c r="N72" s="23" t="s">
        <v>28</v>
      </c>
      <c r="O72" s="23" t="s">
        <v>34</v>
      </c>
      <c r="P72" s="23" t="s">
        <v>27</v>
      </c>
    </row>
    <row r="73" spans="1:16" ht="57.6" x14ac:dyDescent="0.3">
      <c r="A73" s="23">
        <v>72</v>
      </c>
      <c r="B73" s="23" t="s">
        <v>415</v>
      </c>
      <c r="C73" s="23" t="s">
        <v>416</v>
      </c>
      <c r="D73" s="23">
        <v>2021</v>
      </c>
      <c r="E73" s="23" t="s">
        <v>417</v>
      </c>
      <c r="F73" s="23" t="s">
        <v>39</v>
      </c>
      <c r="G73" s="23" t="s">
        <v>31</v>
      </c>
      <c r="H73" s="23" t="s">
        <v>776</v>
      </c>
      <c r="I73" s="23" t="s">
        <v>419</v>
      </c>
      <c r="J73" s="23" t="s">
        <v>38</v>
      </c>
      <c r="K73" s="23" t="s">
        <v>27</v>
      </c>
      <c r="L73" s="23" t="s">
        <v>28</v>
      </c>
      <c r="M73" s="23" t="s">
        <v>27</v>
      </c>
      <c r="N73" s="23" t="s">
        <v>28</v>
      </c>
      <c r="O73" s="23" t="s">
        <v>34</v>
      </c>
      <c r="P73" s="23" t="s">
        <v>27</v>
      </c>
    </row>
    <row r="74" spans="1:16" ht="57.6" x14ac:dyDescent="0.3">
      <c r="A74" s="23">
        <v>73</v>
      </c>
      <c r="B74" s="23" t="s">
        <v>420</v>
      </c>
      <c r="C74" s="23" t="s">
        <v>421</v>
      </c>
      <c r="D74" s="23">
        <v>2024</v>
      </c>
      <c r="E74" s="23" t="s">
        <v>422</v>
      </c>
      <c r="F74" s="23" t="s">
        <v>670</v>
      </c>
      <c r="G74" s="23" t="s">
        <v>31</v>
      </c>
      <c r="H74" s="23" t="s">
        <v>777</v>
      </c>
      <c r="I74" s="23" t="s">
        <v>424</v>
      </c>
      <c r="J74" s="23" t="s">
        <v>38</v>
      </c>
      <c r="K74" s="23" t="s">
        <v>27</v>
      </c>
      <c r="L74" s="23" t="s">
        <v>28</v>
      </c>
      <c r="M74" s="23" t="s">
        <v>27</v>
      </c>
      <c r="N74" s="23" t="s">
        <v>28</v>
      </c>
      <c r="O74" s="23" t="s">
        <v>34</v>
      </c>
      <c r="P74" s="23" t="s">
        <v>27</v>
      </c>
    </row>
    <row r="75" spans="1:16" ht="43.2" x14ac:dyDescent="0.3">
      <c r="A75" s="23">
        <v>74</v>
      </c>
      <c r="B75" s="23" t="s">
        <v>425</v>
      </c>
      <c r="C75" s="23" t="s">
        <v>426</v>
      </c>
      <c r="D75" s="23">
        <v>2021</v>
      </c>
      <c r="E75" s="23" t="s">
        <v>427</v>
      </c>
      <c r="F75" s="23" t="s">
        <v>39</v>
      </c>
      <c r="G75" s="23" t="s">
        <v>658</v>
      </c>
      <c r="H75" s="23" t="s">
        <v>778</v>
      </c>
      <c r="I75" s="23" t="s">
        <v>193</v>
      </c>
      <c r="J75" s="23" t="s">
        <v>38</v>
      </c>
      <c r="K75" s="23" t="s">
        <v>27</v>
      </c>
      <c r="L75" s="23" t="s">
        <v>28</v>
      </c>
      <c r="M75" s="23" t="s">
        <v>27</v>
      </c>
      <c r="N75" s="23" t="s">
        <v>28</v>
      </c>
      <c r="O75" s="23" t="s">
        <v>34</v>
      </c>
      <c r="P75" s="23" t="s">
        <v>27</v>
      </c>
    </row>
    <row r="76" spans="1:16" ht="72" x14ac:dyDescent="0.3">
      <c r="A76" s="23">
        <v>75</v>
      </c>
      <c r="B76" s="23" t="s">
        <v>429</v>
      </c>
      <c r="C76" s="23" t="s">
        <v>430</v>
      </c>
      <c r="D76" s="23">
        <v>2021</v>
      </c>
      <c r="E76" s="23" t="s">
        <v>431</v>
      </c>
      <c r="F76" s="23" t="s">
        <v>25</v>
      </c>
      <c r="G76" s="23" t="s">
        <v>690</v>
      </c>
      <c r="H76" s="23" t="s">
        <v>779</v>
      </c>
      <c r="I76" s="23" t="s">
        <v>433</v>
      </c>
      <c r="J76" s="23" t="s">
        <v>38</v>
      </c>
      <c r="K76" s="23" t="s">
        <v>27</v>
      </c>
      <c r="L76" s="23" t="s">
        <v>28</v>
      </c>
      <c r="M76" s="23" t="s">
        <v>27</v>
      </c>
      <c r="N76" s="23" t="s">
        <v>28</v>
      </c>
      <c r="O76" s="23" t="s">
        <v>34</v>
      </c>
      <c r="P76" s="23" t="s">
        <v>27</v>
      </c>
    </row>
    <row r="77" spans="1:16" ht="43.2" x14ac:dyDescent="0.3">
      <c r="A77" s="23">
        <v>76</v>
      </c>
      <c r="B77" s="23" t="s">
        <v>434</v>
      </c>
      <c r="C77" s="23" t="s">
        <v>435</v>
      </c>
      <c r="D77" s="23">
        <v>2021</v>
      </c>
      <c r="E77" s="23" t="s">
        <v>436</v>
      </c>
      <c r="F77" s="23" t="s">
        <v>38</v>
      </c>
      <c r="G77" s="23" t="s">
        <v>658</v>
      </c>
      <c r="H77" s="23" t="s">
        <v>780</v>
      </c>
      <c r="I77" s="23" t="s">
        <v>438</v>
      </c>
      <c r="J77" s="23" t="s">
        <v>781</v>
      </c>
      <c r="K77" s="23" t="s">
        <v>27</v>
      </c>
      <c r="L77" s="23" t="s">
        <v>28</v>
      </c>
      <c r="M77" s="23" t="s">
        <v>27</v>
      </c>
      <c r="N77" s="23" t="s">
        <v>28</v>
      </c>
      <c r="O77" s="23" t="s">
        <v>34</v>
      </c>
      <c r="P77" s="23" t="s">
        <v>27</v>
      </c>
    </row>
    <row r="78" spans="1:16" ht="57.6" x14ac:dyDescent="0.3">
      <c r="A78" s="23">
        <v>77</v>
      </c>
      <c r="B78" s="23" t="s">
        <v>439</v>
      </c>
      <c r="C78" s="23" t="s">
        <v>440</v>
      </c>
      <c r="D78" s="23">
        <v>2021</v>
      </c>
      <c r="E78" s="23" t="s">
        <v>441</v>
      </c>
      <c r="F78" s="23" t="s">
        <v>25</v>
      </c>
      <c r="G78" s="23" t="s">
        <v>663</v>
      </c>
      <c r="H78" s="23" t="s">
        <v>782</v>
      </c>
      <c r="I78" s="23" t="s">
        <v>443</v>
      </c>
      <c r="J78" s="23" t="s">
        <v>38</v>
      </c>
      <c r="K78" s="23" t="s">
        <v>29</v>
      </c>
      <c r="L78" s="23" t="s">
        <v>751</v>
      </c>
      <c r="M78" s="23" t="s">
        <v>27</v>
      </c>
      <c r="N78" s="23" t="s">
        <v>28</v>
      </c>
      <c r="O78" s="23" t="s">
        <v>34</v>
      </c>
      <c r="P78" s="23" t="s">
        <v>27</v>
      </c>
    </row>
    <row r="79" spans="1:16" ht="72" x14ac:dyDescent="0.3">
      <c r="A79" s="23">
        <v>78</v>
      </c>
      <c r="B79" s="23" t="s">
        <v>444</v>
      </c>
      <c r="C79" s="23" t="s">
        <v>445</v>
      </c>
      <c r="D79" s="23">
        <v>2024</v>
      </c>
      <c r="E79" s="23" t="s">
        <v>446</v>
      </c>
      <c r="F79" s="23" t="s">
        <v>28</v>
      </c>
      <c r="G79" s="23" t="s">
        <v>663</v>
      </c>
      <c r="H79" s="23" t="s">
        <v>783</v>
      </c>
      <c r="I79" s="23" t="s">
        <v>193</v>
      </c>
      <c r="J79" s="23" t="s">
        <v>38</v>
      </c>
      <c r="K79" s="23" t="s">
        <v>27</v>
      </c>
      <c r="L79" s="23" t="s">
        <v>28</v>
      </c>
      <c r="M79" s="23" t="s">
        <v>29</v>
      </c>
      <c r="N79" s="23" t="s">
        <v>784</v>
      </c>
      <c r="O79" s="23" t="s">
        <v>34</v>
      </c>
      <c r="P79" s="23" t="s">
        <v>27</v>
      </c>
    </row>
    <row r="80" spans="1:16" ht="72" x14ac:dyDescent="0.3">
      <c r="A80" s="23">
        <v>79</v>
      </c>
      <c r="B80" s="23" t="s">
        <v>449</v>
      </c>
      <c r="C80" s="23" t="s">
        <v>450</v>
      </c>
      <c r="D80" s="23">
        <v>2019</v>
      </c>
      <c r="E80" s="23" t="s">
        <v>451</v>
      </c>
      <c r="F80" s="23" t="s">
        <v>452</v>
      </c>
      <c r="G80" s="23" t="s">
        <v>676</v>
      </c>
      <c r="H80" s="23" t="s">
        <v>710</v>
      </c>
      <c r="I80" s="23" t="s">
        <v>453</v>
      </c>
      <c r="J80" s="23" t="s">
        <v>321</v>
      </c>
      <c r="K80" s="23" t="s">
        <v>27</v>
      </c>
      <c r="L80" s="23" t="s">
        <v>28</v>
      </c>
      <c r="M80" s="23" t="s">
        <v>27</v>
      </c>
      <c r="N80" s="23" t="s">
        <v>28</v>
      </c>
      <c r="O80" s="23" t="s">
        <v>34</v>
      </c>
      <c r="P80" s="23" t="s">
        <v>27</v>
      </c>
    </row>
    <row r="81" spans="1:16" ht="72" x14ac:dyDescent="0.3">
      <c r="A81" s="23">
        <v>80</v>
      </c>
      <c r="B81" s="23" t="s">
        <v>454</v>
      </c>
      <c r="C81" s="23" t="s">
        <v>455</v>
      </c>
      <c r="D81" s="23">
        <v>2025</v>
      </c>
      <c r="E81" s="23" t="s">
        <v>456</v>
      </c>
      <c r="F81" s="23" t="s">
        <v>457</v>
      </c>
      <c r="G81" s="23" t="s">
        <v>676</v>
      </c>
      <c r="H81" s="23" t="s">
        <v>715</v>
      </c>
      <c r="I81" s="23" t="s">
        <v>438</v>
      </c>
      <c r="J81" s="23" t="s">
        <v>785</v>
      </c>
      <c r="K81" s="23" t="s">
        <v>29</v>
      </c>
      <c r="L81" s="23" t="s">
        <v>458</v>
      </c>
      <c r="M81" s="23" t="s">
        <v>27</v>
      </c>
      <c r="N81" s="23" t="s">
        <v>28</v>
      </c>
      <c r="O81" s="23" t="s">
        <v>34</v>
      </c>
      <c r="P81" s="23" t="s">
        <v>27</v>
      </c>
    </row>
    <row r="82" spans="1:16" ht="57.6" x14ac:dyDescent="0.3">
      <c r="A82" s="23">
        <v>81</v>
      </c>
      <c r="B82" s="23" t="s">
        <v>459</v>
      </c>
      <c r="C82" s="23" t="s">
        <v>460</v>
      </c>
      <c r="D82" s="23">
        <v>2021</v>
      </c>
      <c r="E82" s="23" t="s">
        <v>461</v>
      </c>
      <c r="F82" s="23" t="s">
        <v>39</v>
      </c>
      <c r="G82" s="23" t="s">
        <v>663</v>
      </c>
      <c r="H82" s="23" t="s">
        <v>786</v>
      </c>
      <c r="I82" s="23" t="s">
        <v>787</v>
      </c>
      <c r="J82" s="23" t="s">
        <v>38</v>
      </c>
      <c r="K82" s="23" t="s">
        <v>27</v>
      </c>
      <c r="L82" s="23" t="s">
        <v>28</v>
      </c>
      <c r="M82" s="23" t="s">
        <v>27</v>
      </c>
      <c r="N82" s="23" t="s">
        <v>28</v>
      </c>
      <c r="O82" s="23" t="s">
        <v>34</v>
      </c>
      <c r="P82" s="23" t="s">
        <v>27</v>
      </c>
    </row>
    <row r="83" spans="1:16" ht="57.6" x14ac:dyDescent="0.3">
      <c r="A83" s="23">
        <v>82</v>
      </c>
      <c r="B83" s="23" t="s">
        <v>464</v>
      </c>
      <c r="C83" s="23" t="s">
        <v>465</v>
      </c>
      <c r="D83" s="23">
        <v>2024</v>
      </c>
      <c r="E83" s="23" t="s">
        <v>466</v>
      </c>
      <c r="F83" s="23" t="s">
        <v>39</v>
      </c>
      <c r="G83" s="23" t="s">
        <v>671</v>
      </c>
      <c r="H83" s="23" t="s">
        <v>788</v>
      </c>
      <c r="I83" s="23" t="s">
        <v>468</v>
      </c>
      <c r="J83" s="23" t="s">
        <v>665</v>
      </c>
      <c r="K83" s="23" t="s">
        <v>29</v>
      </c>
      <c r="L83" s="23" t="s">
        <v>191</v>
      </c>
      <c r="M83" s="23" t="s">
        <v>27</v>
      </c>
      <c r="N83" s="23" t="s">
        <v>28</v>
      </c>
      <c r="O83" s="23" t="s">
        <v>34</v>
      </c>
      <c r="P83" s="23" t="s">
        <v>27</v>
      </c>
    </row>
    <row r="84" spans="1:16" ht="57.6" x14ac:dyDescent="0.3">
      <c r="A84" s="23">
        <v>83</v>
      </c>
      <c r="B84" s="23" t="s">
        <v>469</v>
      </c>
      <c r="C84" s="23" t="s">
        <v>470</v>
      </c>
      <c r="D84" s="23">
        <v>2022</v>
      </c>
      <c r="E84" s="23" t="s">
        <v>471</v>
      </c>
      <c r="F84" s="23" t="s">
        <v>56</v>
      </c>
      <c r="G84" s="23" t="s">
        <v>789</v>
      </c>
      <c r="H84" s="23" t="s">
        <v>790</v>
      </c>
      <c r="I84" s="23" t="s">
        <v>474</v>
      </c>
      <c r="J84" s="23" t="s">
        <v>761</v>
      </c>
      <c r="K84" s="23" t="s">
        <v>29</v>
      </c>
      <c r="L84" s="23" t="s">
        <v>751</v>
      </c>
      <c r="M84" s="23" t="s">
        <v>27</v>
      </c>
      <c r="N84" s="23" t="s">
        <v>28</v>
      </c>
      <c r="O84" s="23" t="s">
        <v>34</v>
      </c>
      <c r="P84" s="23" t="s">
        <v>27</v>
      </c>
    </row>
    <row r="85" spans="1:16" ht="43.2" x14ac:dyDescent="0.3">
      <c r="A85" s="23">
        <v>84</v>
      </c>
      <c r="B85" s="23" t="s">
        <v>475</v>
      </c>
      <c r="C85" s="23" t="s">
        <v>476</v>
      </c>
      <c r="D85" s="23">
        <v>2016</v>
      </c>
      <c r="E85" s="23" t="s">
        <v>477</v>
      </c>
      <c r="F85" s="23" t="s">
        <v>39</v>
      </c>
      <c r="G85" s="23" t="s">
        <v>690</v>
      </c>
      <c r="H85" s="23" t="s">
        <v>791</v>
      </c>
      <c r="I85" s="23" t="s">
        <v>478</v>
      </c>
      <c r="J85" s="23" t="s">
        <v>62</v>
      </c>
      <c r="K85" s="23" t="s">
        <v>27</v>
      </c>
      <c r="L85" s="23" t="s">
        <v>28</v>
      </c>
      <c r="M85" s="23" t="s">
        <v>27</v>
      </c>
      <c r="N85" s="23" t="s">
        <v>28</v>
      </c>
      <c r="O85" s="23" t="s">
        <v>34</v>
      </c>
      <c r="P85" s="23" t="s">
        <v>27</v>
      </c>
    </row>
    <row r="86" spans="1:16" ht="72" x14ac:dyDescent="0.3">
      <c r="A86" s="23">
        <v>85</v>
      </c>
      <c r="B86" s="23" t="s">
        <v>479</v>
      </c>
      <c r="C86" s="23" t="s">
        <v>480</v>
      </c>
      <c r="D86" s="23">
        <v>2025</v>
      </c>
      <c r="E86" s="23" t="s">
        <v>481</v>
      </c>
      <c r="F86" s="23" t="s">
        <v>792</v>
      </c>
      <c r="G86" s="23" t="s">
        <v>671</v>
      </c>
      <c r="H86" s="23" t="s">
        <v>793</v>
      </c>
      <c r="I86" s="23" t="s">
        <v>484</v>
      </c>
      <c r="J86" s="23" t="s">
        <v>761</v>
      </c>
      <c r="K86" s="23" t="s">
        <v>27</v>
      </c>
      <c r="L86" s="23" t="s">
        <v>28</v>
      </c>
      <c r="M86" s="23" t="s">
        <v>27</v>
      </c>
      <c r="N86" s="23" t="s">
        <v>28</v>
      </c>
      <c r="O86" s="23" t="s">
        <v>34</v>
      </c>
      <c r="P86" s="23" t="s">
        <v>27</v>
      </c>
    </row>
    <row r="87" spans="1:16" ht="43.2" x14ac:dyDescent="0.3">
      <c r="A87" s="23">
        <v>86</v>
      </c>
      <c r="B87" s="23" t="s">
        <v>485</v>
      </c>
      <c r="C87" s="23" t="s">
        <v>486</v>
      </c>
      <c r="D87" s="23">
        <v>2025</v>
      </c>
      <c r="E87" s="23" t="s">
        <v>487</v>
      </c>
      <c r="F87" s="23" t="s">
        <v>28</v>
      </c>
      <c r="G87" s="23" t="s">
        <v>671</v>
      </c>
      <c r="H87" s="23" t="s">
        <v>664</v>
      </c>
      <c r="I87" s="23" t="s">
        <v>488</v>
      </c>
      <c r="J87" s="23" t="s">
        <v>62</v>
      </c>
      <c r="K87" s="23" t="s">
        <v>27</v>
      </c>
      <c r="L87" s="23" t="s">
        <v>28</v>
      </c>
      <c r="M87" s="23" t="s">
        <v>27</v>
      </c>
      <c r="N87" s="23" t="s">
        <v>28</v>
      </c>
      <c r="O87" s="23" t="s">
        <v>34</v>
      </c>
      <c r="P87" s="23" t="s">
        <v>27</v>
      </c>
    </row>
    <row r="88" spans="1:16" ht="28.8" x14ac:dyDescent="0.3">
      <c r="A88" s="23">
        <v>87</v>
      </c>
      <c r="B88" s="23" t="s">
        <v>489</v>
      </c>
      <c r="C88" s="23" t="s">
        <v>490</v>
      </c>
      <c r="D88" s="23">
        <v>2015</v>
      </c>
      <c r="E88" s="23" t="s">
        <v>491</v>
      </c>
      <c r="F88" s="23" t="s">
        <v>39</v>
      </c>
      <c r="G88" s="23" t="s">
        <v>671</v>
      </c>
      <c r="H88" s="23" t="s">
        <v>794</v>
      </c>
      <c r="I88" s="23" t="s">
        <v>493</v>
      </c>
      <c r="J88" s="23" t="s">
        <v>795</v>
      </c>
      <c r="K88" s="23" t="s">
        <v>29</v>
      </c>
      <c r="L88" s="23" t="s">
        <v>155</v>
      </c>
      <c r="M88" s="23" t="s">
        <v>27</v>
      </c>
      <c r="N88" s="23" t="s">
        <v>28</v>
      </c>
      <c r="O88" s="23" t="s">
        <v>34</v>
      </c>
      <c r="P88" s="23" t="s">
        <v>27</v>
      </c>
    </row>
    <row r="89" spans="1:16" ht="43.2" x14ac:dyDescent="0.3">
      <c r="A89" s="23">
        <v>88</v>
      </c>
      <c r="B89" s="23" t="s">
        <v>494</v>
      </c>
      <c r="C89" s="23" t="s">
        <v>495</v>
      </c>
      <c r="D89" s="23">
        <v>2020</v>
      </c>
      <c r="E89" s="23" t="s">
        <v>496</v>
      </c>
      <c r="F89" s="23" t="s">
        <v>38</v>
      </c>
      <c r="G89" s="23" t="s">
        <v>658</v>
      </c>
      <c r="H89" s="23" t="s">
        <v>197</v>
      </c>
      <c r="I89" s="23" t="s">
        <v>796</v>
      </c>
      <c r="J89" s="23" t="s">
        <v>795</v>
      </c>
      <c r="K89" s="23" t="s">
        <v>27</v>
      </c>
      <c r="L89" s="23" t="s">
        <v>28</v>
      </c>
      <c r="M89" s="23" t="s">
        <v>27</v>
      </c>
      <c r="N89" s="23" t="s">
        <v>28</v>
      </c>
      <c r="O89" s="23" t="s">
        <v>34</v>
      </c>
      <c r="P89" s="23" t="s">
        <v>27</v>
      </c>
    </row>
    <row r="90" spans="1:16" ht="43.2" x14ac:dyDescent="0.3">
      <c r="A90" s="23">
        <v>89</v>
      </c>
      <c r="B90" s="23" t="s">
        <v>498</v>
      </c>
      <c r="C90" s="23" t="s">
        <v>499</v>
      </c>
      <c r="D90" s="23">
        <v>2018</v>
      </c>
      <c r="E90" s="23" t="s">
        <v>500</v>
      </c>
      <c r="F90" s="23" t="s">
        <v>670</v>
      </c>
      <c r="G90" s="23" t="s">
        <v>671</v>
      </c>
      <c r="H90" s="23" t="s">
        <v>501</v>
      </c>
      <c r="I90" s="23" t="s">
        <v>502</v>
      </c>
      <c r="J90" s="23" t="s">
        <v>795</v>
      </c>
      <c r="K90" s="23" t="s">
        <v>27</v>
      </c>
      <c r="L90" s="23" t="s">
        <v>28</v>
      </c>
      <c r="M90" s="23" t="s">
        <v>27</v>
      </c>
      <c r="N90" s="23" t="s">
        <v>28</v>
      </c>
      <c r="O90" s="23" t="s">
        <v>34</v>
      </c>
      <c r="P90" s="23" t="s">
        <v>27</v>
      </c>
    </row>
    <row r="91" spans="1:16" ht="57.6" x14ac:dyDescent="0.3">
      <c r="A91" s="23">
        <v>90</v>
      </c>
      <c r="B91" s="23" t="s">
        <v>503</v>
      </c>
      <c r="C91" s="23" t="s">
        <v>504</v>
      </c>
      <c r="D91" s="23">
        <v>2020</v>
      </c>
      <c r="E91" s="23" t="s">
        <v>505</v>
      </c>
      <c r="F91" s="23" t="s">
        <v>62</v>
      </c>
      <c r="G91" s="23" t="s">
        <v>31</v>
      </c>
      <c r="H91" s="23" t="s">
        <v>797</v>
      </c>
      <c r="I91" s="23" t="s">
        <v>798</v>
      </c>
      <c r="J91" s="23" t="s">
        <v>799</v>
      </c>
      <c r="K91" s="23" t="s">
        <v>27</v>
      </c>
      <c r="L91" s="23" t="s">
        <v>28</v>
      </c>
      <c r="M91" s="23" t="s">
        <v>65</v>
      </c>
      <c r="N91" s="23" t="s">
        <v>28</v>
      </c>
      <c r="O91" s="23" t="s">
        <v>34</v>
      </c>
      <c r="P91" s="23" t="s">
        <v>27</v>
      </c>
    </row>
    <row r="92" spans="1:16" ht="43.2" x14ac:dyDescent="0.3">
      <c r="A92" s="23">
        <v>91</v>
      </c>
      <c r="B92" s="23" t="s">
        <v>508</v>
      </c>
      <c r="C92" s="23" t="s">
        <v>509</v>
      </c>
      <c r="D92" s="23">
        <v>2025</v>
      </c>
      <c r="E92" s="23" t="s">
        <v>510</v>
      </c>
      <c r="F92" s="23" t="s">
        <v>716</v>
      </c>
      <c r="G92" s="23" t="s">
        <v>31</v>
      </c>
      <c r="H92" s="23" t="s">
        <v>685</v>
      </c>
      <c r="I92" s="23" t="s">
        <v>443</v>
      </c>
      <c r="J92" s="23" t="s">
        <v>800</v>
      </c>
      <c r="K92" s="23" t="s">
        <v>27</v>
      </c>
      <c r="L92" s="23" t="s">
        <v>28</v>
      </c>
      <c r="M92" s="23" t="s">
        <v>27</v>
      </c>
      <c r="N92" s="23" t="s">
        <v>28</v>
      </c>
      <c r="O92" s="23" t="s">
        <v>34</v>
      </c>
      <c r="P92" s="23" t="s">
        <v>27</v>
      </c>
    </row>
    <row r="93" spans="1:16" ht="57.6" x14ac:dyDescent="0.3">
      <c r="A93" s="23">
        <v>92</v>
      </c>
      <c r="B93" s="23" t="s">
        <v>511</v>
      </c>
      <c r="C93" s="23" t="s">
        <v>512</v>
      </c>
      <c r="D93" s="23">
        <v>2019</v>
      </c>
      <c r="E93" s="23" t="s">
        <v>513</v>
      </c>
      <c r="F93" s="23" t="s">
        <v>716</v>
      </c>
      <c r="G93" s="23" t="s">
        <v>31</v>
      </c>
      <c r="H93" s="23" t="s">
        <v>801</v>
      </c>
      <c r="I93" s="23" t="s">
        <v>802</v>
      </c>
      <c r="J93" s="23" t="s">
        <v>803</v>
      </c>
      <c r="K93" s="23" t="s">
        <v>29</v>
      </c>
      <c r="L93" s="23" t="s">
        <v>155</v>
      </c>
      <c r="M93" s="23" t="s">
        <v>27</v>
      </c>
      <c r="N93" s="23" t="s">
        <v>28</v>
      </c>
      <c r="O93" s="23" t="s">
        <v>34</v>
      </c>
      <c r="P93" s="23" t="s">
        <v>27</v>
      </c>
    </row>
    <row r="94" spans="1:16" ht="57.6" x14ac:dyDescent="0.3">
      <c r="A94" s="23">
        <v>93</v>
      </c>
      <c r="B94" s="23" t="s">
        <v>516</v>
      </c>
      <c r="C94" s="23" t="s">
        <v>517</v>
      </c>
      <c r="D94" s="23">
        <v>2021</v>
      </c>
      <c r="E94" s="23" t="s">
        <v>518</v>
      </c>
      <c r="F94" s="23" t="s">
        <v>804</v>
      </c>
      <c r="G94" s="23" t="s">
        <v>671</v>
      </c>
      <c r="H94" s="23" t="s">
        <v>777</v>
      </c>
      <c r="I94" s="23" t="s">
        <v>520</v>
      </c>
      <c r="J94" s="23" t="s">
        <v>805</v>
      </c>
      <c r="K94" s="23" t="s">
        <v>27</v>
      </c>
      <c r="L94" s="23" t="s">
        <v>28</v>
      </c>
      <c r="M94" s="23" t="s">
        <v>27</v>
      </c>
      <c r="N94" s="23" t="s">
        <v>28</v>
      </c>
      <c r="O94" s="23" t="s">
        <v>34</v>
      </c>
      <c r="P94" s="23" t="s">
        <v>29</v>
      </c>
    </row>
    <row r="95" spans="1:16" ht="57.6" x14ac:dyDescent="0.3">
      <c r="A95" s="23">
        <v>94</v>
      </c>
      <c r="B95" s="23" t="s">
        <v>521</v>
      </c>
      <c r="C95" s="23" t="s">
        <v>522</v>
      </c>
      <c r="D95" s="23">
        <v>2021</v>
      </c>
      <c r="E95" s="23" t="s">
        <v>523</v>
      </c>
      <c r="F95" s="23" t="s">
        <v>101</v>
      </c>
      <c r="G95" s="23" t="s">
        <v>663</v>
      </c>
      <c r="H95" s="23" t="s">
        <v>806</v>
      </c>
      <c r="I95" s="23" t="s">
        <v>438</v>
      </c>
      <c r="J95" s="23" t="s">
        <v>665</v>
      </c>
      <c r="K95" s="23" t="s">
        <v>27</v>
      </c>
      <c r="L95" s="23" t="s">
        <v>28</v>
      </c>
      <c r="M95" s="23" t="s">
        <v>27</v>
      </c>
      <c r="N95" s="23" t="s">
        <v>28</v>
      </c>
      <c r="O95" s="23" t="s">
        <v>34</v>
      </c>
      <c r="P95" s="23" t="s">
        <v>27</v>
      </c>
    </row>
    <row r="96" spans="1:16" ht="43.2" x14ac:dyDescent="0.3">
      <c r="A96" s="23">
        <v>95</v>
      </c>
      <c r="B96" s="23" t="s">
        <v>525</v>
      </c>
      <c r="C96" s="23" t="s">
        <v>526</v>
      </c>
      <c r="D96" s="23">
        <v>2018</v>
      </c>
      <c r="E96" s="23" t="s">
        <v>527</v>
      </c>
      <c r="F96" s="23" t="s">
        <v>528</v>
      </c>
      <c r="G96" s="23" t="s">
        <v>671</v>
      </c>
      <c r="H96" s="23" t="s">
        <v>807</v>
      </c>
      <c r="I96" s="23" t="s">
        <v>530</v>
      </c>
      <c r="J96" s="23" t="s">
        <v>805</v>
      </c>
      <c r="K96" s="23" t="s">
        <v>27</v>
      </c>
      <c r="L96" s="23" t="s">
        <v>28</v>
      </c>
      <c r="M96" s="23" t="s">
        <v>27</v>
      </c>
      <c r="N96" s="23" t="s">
        <v>28</v>
      </c>
      <c r="O96" s="23" t="s">
        <v>34</v>
      </c>
      <c r="P96" s="23" t="s">
        <v>27</v>
      </c>
    </row>
    <row r="97" spans="1:16" ht="57.6" x14ac:dyDescent="0.3">
      <c r="A97" s="23">
        <v>96</v>
      </c>
      <c r="B97" s="23" t="s">
        <v>531</v>
      </c>
      <c r="C97" s="23" t="s">
        <v>532</v>
      </c>
      <c r="D97" s="23">
        <v>2019</v>
      </c>
      <c r="E97" s="23" t="s">
        <v>533</v>
      </c>
      <c r="F97" s="23" t="s">
        <v>39</v>
      </c>
      <c r="G97" s="23" t="s">
        <v>31</v>
      </c>
      <c r="H97" s="23" t="s">
        <v>534</v>
      </c>
      <c r="I97" s="23" t="s">
        <v>808</v>
      </c>
      <c r="J97" s="23" t="s">
        <v>716</v>
      </c>
      <c r="K97" s="23" t="s">
        <v>29</v>
      </c>
      <c r="L97" s="23" t="s">
        <v>155</v>
      </c>
      <c r="M97" s="23" t="s">
        <v>27</v>
      </c>
      <c r="N97" s="23" t="s">
        <v>28</v>
      </c>
      <c r="O97" s="23" t="s">
        <v>34</v>
      </c>
      <c r="P97" s="23" t="s">
        <v>27</v>
      </c>
    </row>
    <row r="98" spans="1:16" ht="72" x14ac:dyDescent="0.3">
      <c r="A98" s="23">
        <v>97</v>
      </c>
      <c r="B98" s="23" t="s">
        <v>536</v>
      </c>
      <c r="C98" s="23" t="s">
        <v>537</v>
      </c>
      <c r="D98" s="23">
        <v>2019</v>
      </c>
      <c r="E98" s="23" t="s">
        <v>538</v>
      </c>
      <c r="F98" s="23" t="s">
        <v>25</v>
      </c>
      <c r="G98" s="23" t="s">
        <v>31</v>
      </c>
      <c r="H98" s="23" t="s">
        <v>197</v>
      </c>
      <c r="I98" s="23" t="s">
        <v>539</v>
      </c>
      <c r="J98" s="23" t="s">
        <v>799</v>
      </c>
      <c r="K98" s="23" t="s">
        <v>27</v>
      </c>
      <c r="L98" s="23" t="s">
        <v>28</v>
      </c>
      <c r="M98" s="23" t="s">
        <v>27</v>
      </c>
      <c r="N98" s="23" t="s">
        <v>28</v>
      </c>
      <c r="O98" s="23" t="s">
        <v>34</v>
      </c>
      <c r="P98" s="23" t="s">
        <v>27</v>
      </c>
    </row>
    <row r="99" spans="1:16" ht="57.6" x14ac:dyDescent="0.3">
      <c r="A99" s="23">
        <v>98</v>
      </c>
      <c r="B99" s="23" t="s">
        <v>540</v>
      </c>
      <c r="C99" s="23" t="s">
        <v>541</v>
      </c>
      <c r="D99" s="23">
        <v>2023</v>
      </c>
      <c r="E99" s="23" t="s">
        <v>542</v>
      </c>
      <c r="F99" s="23" t="s">
        <v>237</v>
      </c>
      <c r="G99" s="23" t="s">
        <v>31</v>
      </c>
      <c r="H99" s="23" t="s">
        <v>809</v>
      </c>
      <c r="I99" s="23" t="s">
        <v>544</v>
      </c>
      <c r="J99" s="23" t="s">
        <v>38</v>
      </c>
      <c r="K99" s="23" t="s">
        <v>29</v>
      </c>
      <c r="L99" s="23" t="s">
        <v>191</v>
      </c>
      <c r="M99" s="23" t="s">
        <v>27</v>
      </c>
      <c r="N99" s="23" t="s">
        <v>28</v>
      </c>
      <c r="O99" s="23" t="s">
        <v>34</v>
      </c>
      <c r="P99" s="23" t="s">
        <v>27</v>
      </c>
    </row>
    <row r="100" spans="1:16" ht="72" x14ac:dyDescent="0.3">
      <c r="A100" s="23">
        <v>99</v>
      </c>
      <c r="B100" s="23" t="s">
        <v>545</v>
      </c>
      <c r="C100" s="23" t="s">
        <v>546</v>
      </c>
      <c r="D100" s="23">
        <v>2025</v>
      </c>
      <c r="E100" s="23" t="s">
        <v>547</v>
      </c>
      <c r="F100" s="23" t="s">
        <v>277</v>
      </c>
      <c r="G100" s="23" t="s">
        <v>671</v>
      </c>
      <c r="H100" s="23" t="s">
        <v>810</v>
      </c>
      <c r="I100" s="23" t="s">
        <v>811</v>
      </c>
      <c r="J100" s="23" t="s">
        <v>38</v>
      </c>
      <c r="K100" s="23" t="s">
        <v>29</v>
      </c>
      <c r="L100" s="23" t="s">
        <v>812</v>
      </c>
      <c r="M100" s="23" t="s">
        <v>27</v>
      </c>
      <c r="N100" s="23" t="s">
        <v>28</v>
      </c>
      <c r="O100" s="23" t="s">
        <v>34</v>
      </c>
      <c r="P100" s="23" t="s">
        <v>27</v>
      </c>
    </row>
    <row r="101" spans="1:16" ht="57.6" x14ac:dyDescent="0.3">
      <c r="A101" s="23">
        <v>100</v>
      </c>
      <c r="B101" s="23" t="s">
        <v>551</v>
      </c>
      <c r="C101" s="23" t="s">
        <v>552</v>
      </c>
      <c r="D101" s="23">
        <v>2024</v>
      </c>
      <c r="E101" s="23" t="s">
        <v>553</v>
      </c>
      <c r="F101" s="23" t="s">
        <v>25</v>
      </c>
      <c r="G101" s="23" t="s">
        <v>31</v>
      </c>
      <c r="H101" s="23" t="s">
        <v>701</v>
      </c>
      <c r="I101" s="23" t="s">
        <v>554</v>
      </c>
      <c r="J101" s="23" t="s">
        <v>716</v>
      </c>
      <c r="K101" s="23" t="s">
        <v>27</v>
      </c>
      <c r="L101" s="23" t="s">
        <v>28</v>
      </c>
      <c r="M101" s="23" t="s">
        <v>27</v>
      </c>
      <c r="N101" s="23" t="s">
        <v>28</v>
      </c>
      <c r="O101" s="23" t="s">
        <v>34</v>
      </c>
      <c r="P101" s="23" t="s">
        <v>27</v>
      </c>
    </row>
    <row r="102" spans="1:16" ht="57.6" x14ac:dyDescent="0.3">
      <c r="A102" s="23">
        <v>101</v>
      </c>
      <c r="B102" s="23" t="s">
        <v>555</v>
      </c>
      <c r="C102" s="23" t="s">
        <v>556</v>
      </c>
      <c r="D102" s="23">
        <v>2021</v>
      </c>
      <c r="E102" s="23" t="s">
        <v>557</v>
      </c>
      <c r="F102" s="23" t="s">
        <v>25</v>
      </c>
      <c r="G102" s="23" t="s">
        <v>690</v>
      </c>
      <c r="H102" s="23" t="s">
        <v>813</v>
      </c>
      <c r="I102" s="23" t="s">
        <v>814</v>
      </c>
      <c r="J102" s="23" t="s">
        <v>321</v>
      </c>
      <c r="K102" s="23" t="s">
        <v>29</v>
      </c>
      <c r="L102" s="23" t="s">
        <v>815</v>
      </c>
      <c r="M102" s="23" t="s">
        <v>27</v>
      </c>
      <c r="N102" s="23" t="s">
        <v>28</v>
      </c>
      <c r="O102" s="23" t="s">
        <v>34</v>
      </c>
      <c r="P102" s="23" t="s">
        <v>27</v>
      </c>
    </row>
    <row r="103" spans="1:16" ht="43.2" x14ac:dyDescent="0.3">
      <c r="A103" s="23">
        <v>102</v>
      </c>
      <c r="B103" s="23" t="s">
        <v>561</v>
      </c>
      <c r="C103" s="23" t="s">
        <v>562</v>
      </c>
      <c r="D103" s="23">
        <v>2025</v>
      </c>
      <c r="E103" s="23" t="s">
        <v>563</v>
      </c>
      <c r="F103" s="23" t="s">
        <v>816</v>
      </c>
      <c r="G103" s="23" t="s">
        <v>31</v>
      </c>
      <c r="H103" s="23" t="s">
        <v>783</v>
      </c>
      <c r="I103" s="23" t="s">
        <v>565</v>
      </c>
      <c r="J103" s="23" t="s">
        <v>799</v>
      </c>
      <c r="K103" s="23" t="s">
        <v>27</v>
      </c>
      <c r="L103" s="23" t="s">
        <v>28</v>
      </c>
      <c r="M103" s="23" t="s">
        <v>27</v>
      </c>
      <c r="N103" s="23" t="s">
        <v>28</v>
      </c>
      <c r="O103" s="23" t="s">
        <v>34</v>
      </c>
      <c r="P103" s="23" t="s">
        <v>27</v>
      </c>
    </row>
    <row r="104" spans="1:16" ht="43.2" x14ac:dyDescent="0.3">
      <c r="A104" s="23">
        <v>103</v>
      </c>
      <c r="B104" s="23" t="s">
        <v>566</v>
      </c>
      <c r="C104" s="23" t="s">
        <v>567</v>
      </c>
      <c r="D104" s="23">
        <v>2019</v>
      </c>
      <c r="E104" s="23" t="s">
        <v>568</v>
      </c>
      <c r="F104" s="23" t="s">
        <v>56</v>
      </c>
      <c r="G104" s="23" t="s">
        <v>671</v>
      </c>
      <c r="H104" s="23" t="s">
        <v>685</v>
      </c>
      <c r="I104" s="23" t="s">
        <v>193</v>
      </c>
      <c r="J104" s="23" t="s">
        <v>755</v>
      </c>
      <c r="K104" s="23" t="s">
        <v>27</v>
      </c>
      <c r="L104" s="23" t="s">
        <v>28</v>
      </c>
      <c r="M104" s="23" t="s">
        <v>27</v>
      </c>
      <c r="N104" s="23" t="s">
        <v>28</v>
      </c>
      <c r="O104" s="23" t="s">
        <v>34</v>
      </c>
      <c r="P104" s="23" t="s">
        <v>27</v>
      </c>
    </row>
    <row r="105" spans="1:16" ht="57.6" x14ac:dyDescent="0.3">
      <c r="A105" s="23">
        <v>104</v>
      </c>
      <c r="B105" s="23" t="s">
        <v>569</v>
      </c>
      <c r="C105" s="23" t="s">
        <v>570</v>
      </c>
      <c r="D105" s="23">
        <v>2021</v>
      </c>
      <c r="E105" s="23" t="s">
        <v>571</v>
      </c>
      <c r="F105" s="23" t="s">
        <v>817</v>
      </c>
      <c r="G105" s="23" t="s">
        <v>671</v>
      </c>
      <c r="H105" s="23" t="s">
        <v>753</v>
      </c>
      <c r="I105" s="23" t="s">
        <v>193</v>
      </c>
      <c r="J105" s="23" t="s">
        <v>755</v>
      </c>
      <c r="K105" s="23" t="s">
        <v>27</v>
      </c>
      <c r="L105" s="23" t="s">
        <v>28</v>
      </c>
      <c r="M105" s="23" t="s">
        <v>27</v>
      </c>
      <c r="N105" s="23" t="s">
        <v>28</v>
      </c>
      <c r="O105" s="23" t="s">
        <v>34</v>
      </c>
      <c r="P105" s="23" t="s">
        <v>29</v>
      </c>
    </row>
    <row r="106" spans="1:16" ht="72" x14ac:dyDescent="0.3">
      <c r="A106" s="23">
        <v>105</v>
      </c>
      <c r="B106" s="23" t="s">
        <v>573</v>
      </c>
      <c r="C106" s="23" t="s">
        <v>574</v>
      </c>
      <c r="D106" s="23">
        <v>2023</v>
      </c>
      <c r="E106" s="23" t="s">
        <v>575</v>
      </c>
      <c r="F106" s="23" t="s">
        <v>39</v>
      </c>
      <c r="G106" s="23" t="s">
        <v>663</v>
      </c>
      <c r="H106" s="23" t="s">
        <v>818</v>
      </c>
      <c r="I106" s="23" t="s">
        <v>819</v>
      </c>
      <c r="J106" s="23" t="s">
        <v>665</v>
      </c>
      <c r="K106" s="23" t="s">
        <v>27</v>
      </c>
      <c r="L106" s="23" t="s">
        <v>28</v>
      </c>
      <c r="M106" s="23" t="s">
        <v>27</v>
      </c>
      <c r="N106" s="23" t="s">
        <v>28</v>
      </c>
      <c r="O106" s="23" t="s">
        <v>34</v>
      </c>
      <c r="P106" s="23" t="s">
        <v>27</v>
      </c>
    </row>
    <row r="107" spans="1:16" ht="43.2" x14ac:dyDescent="0.3">
      <c r="A107" s="23">
        <v>106</v>
      </c>
      <c r="B107" s="23" t="s">
        <v>578</v>
      </c>
      <c r="C107" s="23" t="s">
        <v>579</v>
      </c>
      <c r="D107" s="23">
        <v>2019</v>
      </c>
      <c r="E107" s="23" t="s">
        <v>580</v>
      </c>
      <c r="F107" s="23" t="s">
        <v>25</v>
      </c>
      <c r="G107" s="23" t="s">
        <v>31</v>
      </c>
      <c r="H107" s="23" t="s">
        <v>820</v>
      </c>
      <c r="I107" s="23" t="s">
        <v>582</v>
      </c>
      <c r="J107" s="23" t="s">
        <v>38</v>
      </c>
      <c r="K107" s="23" t="s">
        <v>27</v>
      </c>
      <c r="L107" s="23" t="s">
        <v>28</v>
      </c>
      <c r="M107" s="23" t="s">
        <v>27</v>
      </c>
      <c r="N107" s="23" t="s">
        <v>28</v>
      </c>
      <c r="O107" s="23" t="s">
        <v>34</v>
      </c>
      <c r="P107" s="23" t="s">
        <v>27</v>
      </c>
    </row>
    <row r="108" spans="1:16" ht="57.6" x14ac:dyDescent="0.3">
      <c r="A108" s="23">
        <v>107</v>
      </c>
      <c r="B108" s="23" t="s">
        <v>583</v>
      </c>
      <c r="C108" s="23" t="s">
        <v>584</v>
      </c>
      <c r="D108" s="23">
        <v>2025</v>
      </c>
      <c r="E108" s="23" t="s">
        <v>585</v>
      </c>
      <c r="F108" s="23" t="s">
        <v>670</v>
      </c>
      <c r="G108" s="23" t="s">
        <v>676</v>
      </c>
      <c r="H108" s="23" t="s">
        <v>821</v>
      </c>
      <c r="I108" s="23" t="s">
        <v>587</v>
      </c>
      <c r="J108" s="23" t="s">
        <v>38</v>
      </c>
      <c r="K108" s="23" t="s">
        <v>27</v>
      </c>
      <c r="L108" s="23" t="s">
        <v>28</v>
      </c>
      <c r="M108" s="23" t="s">
        <v>27</v>
      </c>
      <c r="N108" s="23" t="s">
        <v>28</v>
      </c>
      <c r="O108" s="23" t="s">
        <v>34</v>
      </c>
      <c r="P108" s="23" t="s">
        <v>27</v>
      </c>
    </row>
    <row r="109" spans="1:16" ht="57.6" x14ac:dyDescent="0.3">
      <c r="A109" s="23">
        <v>108</v>
      </c>
      <c r="B109" s="23" t="s">
        <v>588</v>
      </c>
      <c r="C109" s="23" t="s">
        <v>589</v>
      </c>
      <c r="D109" s="23">
        <v>2025</v>
      </c>
      <c r="E109" s="23" t="s">
        <v>590</v>
      </c>
      <c r="F109" s="23" t="s">
        <v>25</v>
      </c>
      <c r="G109" s="23" t="s">
        <v>671</v>
      </c>
      <c r="H109" s="23" t="s">
        <v>715</v>
      </c>
      <c r="I109" s="23" t="s">
        <v>822</v>
      </c>
      <c r="J109" s="23" t="s">
        <v>38</v>
      </c>
      <c r="K109" s="23" t="s">
        <v>29</v>
      </c>
      <c r="L109" s="23" t="s">
        <v>155</v>
      </c>
      <c r="M109" s="23" t="s">
        <v>27</v>
      </c>
      <c r="N109" s="23" t="s">
        <v>28</v>
      </c>
      <c r="O109" s="23" t="s">
        <v>34</v>
      </c>
      <c r="P109" s="23" t="s">
        <v>27</v>
      </c>
    </row>
    <row r="110" spans="1:16" ht="43.2" x14ac:dyDescent="0.3">
      <c r="A110" s="23">
        <v>109</v>
      </c>
      <c r="B110" s="23" t="s">
        <v>592</v>
      </c>
      <c r="C110" s="23" t="s">
        <v>593</v>
      </c>
      <c r="D110" s="23">
        <v>2020</v>
      </c>
      <c r="E110" s="23" t="s">
        <v>594</v>
      </c>
      <c r="F110" s="23" t="s">
        <v>670</v>
      </c>
      <c r="G110" s="23" t="s">
        <v>752</v>
      </c>
      <c r="H110" s="23" t="s">
        <v>823</v>
      </c>
      <c r="I110" s="23" t="s">
        <v>193</v>
      </c>
      <c r="J110" s="23" t="s">
        <v>805</v>
      </c>
      <c r="K110" s="23" t="s">
        <v>29</v>
      </c>
      <c r="L110" s="23" t="s">
        <v>751</v>
      </c>
      <c r="M110" s="23" t="s">
        <v>27</v>
      </c>
      <c r="N110" s="23" t="s">
        <v>28</v>
      </c>
      <c r="O110" s="23" t="s">
        <v>34</v>
      </c>
      <c r="P110" s="23" t="s">
        <v>27</v>
      </c>
    </row>
    <row r="111" spans="1:16" ht="57.6" x14ac:dyDescent="0.3">
      <c r="A111" s="23">
        <v>110</v>
      </c>
      <c r="B111" s="23" t="s">
        <v>596</v>
      </c>
      <c r="C111" s="23" t="s">
        <v>597</v>
      </c>
      <c r="D111" s="23">
        <v>2017</v>
      </c>
      <c r="E111" s="23" t="s">
        <v>598</v>
      </c>
      <c r="F111" s="23" t="s">
        <v>62</v>
      </c>
      <c r="G111" s="23" t="s">
        <v>671</v>
      </c>
      <c r="H111" s="23" t="s">
        <v>739</v>
      </c>
      <c r="I111" s="23" t="s">
        <v>599</v>
      </c>
      <c r="J111" s="23" t="s">
        <v>755</v>
      </c>
      <c r="K111" s="23" t="s">
        <v>27</v>
      </c>
      <c r="L111" s="23" t="s">
        <v>28</v>
      </c>
      <c r="M111" s="23" t="s">
        <v>27</v>
      </c>
      <c r="N111" s="23" t="s">
        <v>28</v>
      </c>
      <c r="O111" s="23" t="s">
        <v>34</v>
      </c>
      <c r="P111" s="23" t="s">
        <v>27</v>
      </c>
    </row>
    <row r="112" spans="1:16" ht="57.6" x14ac:dyDescent="0.3">
      <c r="A112" s="23">
        <v>111</v>
      </c>
      <c r="B112" s="23" t="s">
        <v>596</v>
      </c>
      <c r="C112" s="23" t="s">
        <v>824</v>
      </c>
      <c r="D112" s="23">
        <v>2019</v>
      </c>
      <c r="E112" s="23" t="s">
        <v>601</v>
      </c>
      <c r="F112" s="23" t="s">
        <v>670</v>
      </c>
      <c r="G112" s="23" t="s">
        <v>671</v>
      </c>
      <c r="H112" s="23" t="s">
        <v>825</v>
      </c>
      <c r="I112" s="23" t="s">
        <v>826</v>
      </c>
      <c r="J112" s="23" t="s">
        <v>761</v>
      </c>
      <c r="K112" s="23" t="s">
        <v>29</v>
      </c>
      <c r="L112" s="23" t="s">
        <v>827</v>
      </c>
      <c r="M112" s="23" t="s">
        <v>27</v>
      </c>
      <c r="N112" s="23" t="s">
        <v>28</v>
      </c>
      <c r="O112" s="23" t="s">
        <v>34</v>
      </c>
      <c r="P112" s="23" t="s">
        <v>27</v>
      </c>
    </row>
    <row r="113" spans="1:16" ht="57.6" x14ac:dyDescent="0.3">
      <c r="A113" s="23">
        <v>112</v>
      </c>
      <c r="B113" s="23" t="s">
        <v>604</v>
      </c>
      <c r="C113" s="23" t="s">
        <v>605</v>
      </c>
      <c r="D113" s="23">
        <v>2021</v>
      </c>
      <c r="E113" s="23" t="s">
        <v>606</v>
      </c>
      <c r="F113" s="23" t="s">
        <v>62</v>
      </c>
      <c r="G113" s="23" t="s">
        <v>31</v>
      </c>
      <c r="H113" s="23" t="s">
        <v>746</v>
      </c>
      <c r="I113" s="23" t="s">
        <v>828</v>
      </c>
      <c r="J113" s="23" t="s">
        <v>829</v>
      </c>
      <c r="K113" s="23" t="s">
        <v>29</v>
      </c>
      <c r="L113" s="23" t="s">
        <v>827</v>
      </c>
      <c r="M113" s="23" t="s">
        <v>27</v>
      </c>
      <c r="N113" s="23" t="s">
        <v>28</v>
      </c>
      <c r="O113" s="23" t="s">
        <v>34</v>
      </c>
      <c r="P113" s="23" t="s">
        <v>29</v>
      </c>
    </row>
    <row r="114" spans="1:16" ht="57.6" x14ac:dyDescent="0.3">
      <c r="A114" s="23">
        <v>113</v>
      </c>
      <c r="B114" s="23" t="s">
        <v>608</v>
      </c>
      <c r="C114" s="23" t="s">
        <v>609</v>
      </c>
      <c r="D114" s="23">
        <v>2025</v>
      </c>
      <c r="E114" s="23" t="s">
        <v>610</v>
      </c>
      <c r="F114" s="23" t="s">
        <v>830</v>
      </c>
      <c r="G114" s="23" t="s">
        <v>31</v>
      </c>
      <c r="H114" s="23" t="s">
        <v>831</v>
      </c>
      <c r="I114" s="23" t="s">
        <v>832</v>
      </c>
      <c r="J114" s="23" t="s">
        <v>669</v>
      </c>
      <c r="K114" s="23" t="s">
        <v>27</v>
      </c>
      <c r="L114" s="23" t="s">
        <v>28</v>
      </c>
      <c r="M114" s="23" t="s">
        <v>27</v>
      </c>
      <c r="N114" s="23" t="s">
        <v>28</v>
      </c>
      <c r="O114" s="23" t="s">
        <v>34</v>
      </c>
      <c r="P114" s="23" t="s">
        <v>27</v>
      </c>
    </row>
    <row r="115" spans="1:16" ht="72" x14ac:dyDescent="0.3">
      <c r="A115" s="23">
        <v>114</v>
      </c>
      <c r="B115" s="23" t="s">
        <v>613</v>
      </c>
      <c r="C115" s="23" t="s">
        <v>614</v>
      </c>
      <c r="D115" s="23">
        <v>2025</v>
      </c>
      <c r="E115" s="23" t="s">
        <v>615</v>
      </c>
      <c r="F115" s="23" t="s">
        <v>670</v>
      </c>
      <c r="G115" s="23" t="s">
        <v>31</v>
      </c>
      <c r="H115" s="23" t="s">
        <v>833</v>
      </c>
      <c r="I115" s="23" t="s">
        <v>834</v>
      </c>
      <c r="J115" s="23" t="s">
        <v>795</v>
      </c>
      <c r="K115" s="23" t="s">
        <v>29</v>
      </c>
      <c r="L115" s="23" t="s">
        <v>751</v>
      </c>
      <c r="M115" s="23" t="s">
        <v>27</v>
      </c>
      <c r="N115" s="23" t="s">
        <v>28</v>
      </c>
      <c r="O115" s="23" t="s">
        <v>34</v>
      </c>
      <c r="P115" s="23" t="s">
        <v>27</v>
      </c>
    </row>
    <row r="116" spans="1:16" ht="57.6" x14ac:dyDescent="0.3">
      <c r="A116" s="23">
        <v>115</v>
      </c>
      <c r="B116" s="23" t="s">
        <v>618</v>
      </c>
      <c r="C116" s="23" t="s">
        <v>619</v>
      </c>
      <c r="D116" s="23">
        <v>2021</v>
      </c>
      <c r="E116" s="23" t="s">
        <v>620</v>
      </c>
      <c r="F116" s="23" t="s">
        <v>101</v>
      </c>
      <c r="G116" s="23" t="s">
        <v>31</v>
      </c>
      <c r="H116" s="23" t="s">
        <v>835</v>
      </c>
      <c r="I116" s="23" t="s">
        <v>623</v>
      </c>
      <c r="J116" s="23" t="s">
        <v>836</v>
      </c>
      <c r="K116" s="23" t="s">
        <v>29</v>
      </c>
      <c r="L116" s="23" t="s">
        <v>621</v>
      </c>
      <c r="M116" s="23" t="s">
        <v>65</v>
      </c>
      <c r="N116" s="23" t="s">
        <v>28</v>
      </c>
      <c r="O116" s="23" t="s">
        <v>34</v>
      </c>
      <c r="P116" s="23" t="s">
        <v>27</v>
      </c>
    </row>
    <row r="117" spans="1:16" ht="43.2" x14ac:dyDescent="0.3">
      <c r="A117" s="23">
        <v>116</v>
      </c>
      <c r="B117" s="23" t="s">
        <v>624</v>
      </c>
      <c r="C117" s="23" t="s">
        <v>625</v>
      </c>
      <c r="D117" s="23">
        <v>2020</v>
      </c>
      <c r="E117" s="23" t="s">
        <v>626</v>
      </c>
      <c r="F117" s="23" t="s">
        <v>277</v>
      </c>
      <c r="G117" s="23" t="s">
        <v>31</v>
      </c>
      <c r="H117" s="23" t="s">
        <v>837</v>
      </c>
      <c r="I117" s="23" t="s">
        <v>838</v>
      </c>
      <c r="J117" s="23" t="s">
        <v>716</v>
      </c>
      <c r="K117" s="23" t="s">
        <v>27</v>
      </c>
      <c r="L117" s="23" t="s">
        <v>28</v>
      </c>
      <c r="M117" s="23" t="s">
        <v>27</v>
      </c>
      <c r="N117" s="23" t="s">
        <v>28</v>
      </c>
      <c r="O117" s="23" t="s">
        <v>34</v>
      </c>
      <c r="P117" s="23" t="s">
        <v>27</v>
      </c>
    </row>
    <row r="118" spans="1:16" ht="57.6" x14ac:dyDescent="0.3">
      <c r="A118" s="23">
        <v>117</v>
      </c>
      <c r="B118" s="23" t="s">
        <v>629</v>
      </c>
      <c r="C118" s="23" t="s">
        <v>630</v>
      </c>
      <c r="D118" s="23">
        <v>2019</v>
      </c>
      <c r="E118" s="23" t="s">
        <v>631</v>
      </c>
      <c r="F118" s="23" t="s">
        <v>632</v>
      </c>
      <c r="G118" s="23" t="s">
        <v>671</v>
      </c>
      <c r="H118" s="23" t="s">
        <v>710</v>
      </c>
      <c r="I118" s="23" t="s">
        <v>839</v>
      </c>
      <c r="J118" s="23" t="s">
        <v>840</v>
      </c>
      <c r="K118" s="23" t="s">
        <v>29</v>
      </c>
      <c r="L118" s="23" t="s">
        <v>841</v>
      </c>
      <c r="M118" s="23" t="s">
        <v>27</v>
      </c>
      <c r="N118" s="23" t="s">
        <v>28</v>
      </c>
      <c r="O118" s="23" t="s">
        <v>34</v>
      </c>
      <c r="P118" s="23" t="s">
        <v>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Table 3</vt:lpstr>
      <vt:lpstr>Summary</vt:lpstr>
      <vt:lpstr>Original data</vt:lpstr>
      <vt:lpstr>'Table 3'!Titulos_de_impressao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Table 3 - Consolidated Comparative Table</dc:title>
  <dc:creator>openpyxl</dc:creator>
  <cp:lastModifiedBy>Erberson Evangelista Vieira</cp:lastModifiedBy>
  <dcterms:created xsi:type="dcterms:W3CDTF">2026-10-29T12:32:53Z</dcterms:created>
  <dcterms:modified xsi:type="dcterms:W3CDTF">2026-10-31T15:24:42Z</dcterms:modified>
</cp:coreProperties>
</file>